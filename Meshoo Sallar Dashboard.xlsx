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ChatGPT Prectice Data\"/>
    </mc:Choice>
  </mc:AlternateContent>
  <xr:revisionPtr revIDLastSave="0" documentId="13_ncr:1_{7A605DE4-FE7B-4A16-A4CB-947B3024362D}" xr6:coauthVersionLast="47" xr6:coauthVersionMax="47" xr10:uidLastSave="{00000000-0000-0000-0000-000000000000}"/>
  <bookViews>
    <workbookView xWindow="-108" yWindow="-108" windowWidth="23256" windowHeight="12456" activeTab="3" xr2:uid="{00000000-000D-0000-FFFF-FFFF00000000}"/>
  </bookViews>
  <sheets>
    <sheet name="Meesho_Data" sheetId="1" r:id="rId1"/>
    <sheet name="Sheet1" sheetId="3" r:id="rId2"/>
    <sheet name="KPI" sheetId="5" r:id="rId3"/>
    <sheet name="DASHBORAD" sheetId="6" r:id="rId4"/>
  </sheets>
  <definedNames>
    <definedName name="_xlchart.v5.0" hidden="1">KPI!$L$20</definedName>
    <definedName name="_xlchart.v5.1" hidden="1">KPI!$L$21:$L$30</definedName>
    <definedName name="_xlchart.v5.2" hidden="1">KPI!$M$20</definedName>
    <definedName name="_xlchart.v5.3" hidden="1">KPI!$M$21:$M$30</definedName>
    <definedName name="_xlchart.v5.4" hidden="1">KPI!$L$20</definedName>
    <definedName name="_xlchart.v5.5" hidden="1">KPI!$L$21:$L$30</definedName>
    <definedName name="_xlchart.v5.6" hidden="1">KPI!$M$20</definedName>
    <definedName name="_xlchart.v5.7" hidden="1">KPI!$M$21:$M$30</definedName>
    <definedName name="NativeTimeline_Order_Date">#N/A</definedName>
    <definedName name="Slicer_Categor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5" l="1"/>
  <c r="F2" i="5"/>
  <c r="E2" i="5"/>
  <c r="G308" i="1"/>
  <c r="G310" i="1"/>
  <c r="G312" i="1" s="1"/>
  <c r="L26" i="5"/>
  <c r="M21" i="5"/>
  <c r="L22" i="5"/>
  <c r="M22" i="5"/>
  <c r="L23" i="5"/>
  <c r="M23" i="5"/>
  <c r="L24" i="5"/>
  <c r="M24" i="5"/>
  <c r="L25" i="5"/>
  <c r="M25" i="5"/>
  <c r="M26" i="5"/>
  <c r="L27" i="5"/>
  <c r="M27" i="5"/>
  <c r="L28" i="5"/>
  <c r="M28" i="5"/>
  <c r="L29" i="5"/>
  <c r="M29" i="5"/>
  <c r="L30" i="5"/>
  <c r="M30" i="5"/>
  <c r="Q29" i="5"/>
  <c r="R29" i="5"/>
  <c r="L21" i="5"/>
  <c r="E13" i="5" l="1"/>
  <c r="E15" i="5" s="1"/>
  <c r="G314" i="1"/>
</calcChain>
</file>

<file path=xl/sharedStrings.xml><?xml version="1.0" encoding="utf-8"?>
<sst xmlns="http://schemas.openxmlformats.org/spreadsheetml/2006/main" count="2843" uniqueCount="463">
  <si>
    <t>Order_ID</t>
  </si>
  <si>
    <t>Order_Date</t>
  </si>
  <si>
    <t>Product_Name</t>
  </si>
  <si>
    <t>Category</t>
  </si>
  <si>
    <t>Sub_Category</t>
  </si>
  <si>
    <t>Selling_Price</t>
  </si>
  <si>
    <t>Cost_Price</t>
  </si>
  <si>
    <t>Shipping_Charge</t>
  </si>
  <si>
    <t>Platform_Fee</t>
  </si>
  <si>
    <t>Orders_Count</t>
  </si>
  <si>
    <t>Returns_Count</t>
  </si>
  <si>
    <t>Cancelled_Orders</t>
  </si>
  <si>
    <t>Payment_Mode</t>
  </si>
  <si>
    <t>Customer_State</t>
  </si>
  <si>
    <t>Customer_City</t>
  </si>
  <si>
    <t>Delivery_Days</t>
  </si>
  <si>
    <t>Coupon_Used</t>
  </si>
  <si>
    <t>Ad_Spend</t>
  </si>
  <si>
    <t>MSH00001</t>
  </si>
  <si>
    <t>Night Suit Women</t>
  </si>
  <si>
    <t>Clothing</t>
  </si>
  <si>
    <t>Women Lounge</t>
  </si>
  <si>
    <t>Prepaid</t>
  </si>
  <si>
    <t>Delhi</t>
  </si>
  <si>
    <t>YES</t>
  </si>
  <si>
    <t>MSH00002</t>
  </si>
  <si>
    <t>Soft Toy Bear</t>
  </si>
  <si>
    <t>Toys</t>
  </si>
  <si>
    <t>Plush</t>
  </si>
  <si>
    <t>Bihar</t>
  </si>
  <si>
    <t>Patna</t>
  </si>
  <si>
    <t>NO</t>
  </si>
  <si>
    <t>MSH00003</t>
  </si>
  <si>
    <t>Phone Cover Printed</t>
  </si>
  <si>
    <t>Electronics Acc</t>
  </si>
  <si>
    <t>Mobile</t>
  </si>
  <si>
    <t>UPI</t>
  </si>
  <si>
    <t>Lucknow</t>
  </si>
  <si>
    <t>MSH00004</t>
  </si>
  <si>
    <t>Denim Jeans Men</t>
  </si>
  <si>
    <t>Men Bottom</t>
  </si>
  <si>
    <t>COD</t>
  </si>
  <si>
    <t>Kolkata</t>
  </si>
  <si>
    <t>MSH00005</t>
  </si>
  <si>
    <t>Yoga Mat 6mm</t>
  </si>
  <si>
    <t>Fitness</t>
  </si>
  <si>
    <t>Mat</t>
  </si>
  <si>
    <t>MSH00006</t>
  </si>
  <si>
    <t>File Folder Set</t>
  </si>
  <si>
    <t>Stationery</t>
  </si>
  <si>
    <t>Folder</t>
  </si>
  <si>
    <t>Karnataka</t>
  </si>
  <si>
    <t>Bangalore</t>
  </si>
  <si>
    <t>MSH00007</t>
  </si>
  <si>
    <t>Building Blocks</t>
  </si>
  <si>
    <t>Educational</t>
  </si>
  <si>
    <t>MSH00008</t>
  </si>
  <si>
    <t>Toy Car Set Kids</t>
  </si>
  <si>
    <t>Vehicle</t>
  </si>
  <si>
    <t>MSH00009</t>
  </si>
  <si>
    <t>Anklet Pair</t>
  </si>
  <si>
    <t>Jewellery</t>
  </si>
  <si>
    <t>Anklet</t>
  </si>
  <si>
    <t>Chennai</t>
  </si>
  <si>
    <t>MSH00010</t>
  </si>
  <si>
    <t>Pop Socket Grip</t>
  </si>
  <si>
    <t>MSH00011</t>
  </si>
  <si>
    <t>Saree Cotton</t>
  </si>
  <si>
    <t>Women Saree</t>
  </si>
  <si>
    <t>MSH00012</t>
  </si>
  <si>
    <t>Gujarat</t>
  </si>
  <si>
    <t>Ahmedabad</t>
  </si>
  <si>
    <t>MSH00013</t>
  </si>
  <si>
    <t>Face Wash 100ml</t>
  </si>
  <si>
    <t>Beauty</t>
  </si>
  <si>
    <t>Skincare</t>
  </si>
  <si>
    <t>MSH00014</t>
  </si>
  <si>
    <t>Kajal Waterproof</t>
  </si>
  <si>
    <t>Eyes</t>
  </si>
  <si>
    <t>MSH00015</t>
  </si>
  <si>
    <t>Kids Frock</t>
  </si>
  <si>
    <t>Kids Girls</t>
  </si>
  <si>
    <t>MSH00016</t>
  </si>
  <si>
    <t>MSH00017</t>
  </si>
  <si>
    <t>MSH00018</t>
  </si>
  <si>
    <t>MSH00019</t>
  </si>
  <si>
    <t>MSH00020</t>
  </si>
  <si>
    <t>Water Bottle 1L</t>
  </si>
  <si>
    <t>Bottle</t>
  </si>
  <si>
    <t>MSH00021</t>
  </si>
  <si>
    <t>Earphones Wired</t>
  </si>
  <si>
    <t>Audio</t>
  </si>
  <si>
    <t>MSH00022</t>
  </si>
  <si>
    <t>MSH00023</t>
  </si>
  <si>
    <t>MSH00024</t>
  </si>
  <si>
    <t>Sticky Notes 5Pack</t>
  </si>
  <si>
    <t>Notes</t>
  </si>
  <si>
    <t>Rajasthan</t>
  </si>
  <si>
    <t>Jaipur</t>
  </si>
  <si>
    <t>MSH00025</t>
  </si>
  <si>
    <t>MSH00026</t>
  </si>
  <si>
    <t>MSH00027</t>
  </si>
  <si>
    <t>MSH00028</t>
  </si>
  <si>
    <t>Bhopal</t>
  </si>
  <si>
    <t>MSH00029</t>
  </si>
  <si>
    <t>Notebook A5 Pack</t>
  </si>
  <si>
    <t>Notebook</t>
  </si>
  <si>
    <t>MSH00030</t>
  </si>
  <si>
    <t>Anarkali Kurti</t>
  </si>
  <si>
    <t>Women Ethnic</t>
  </si>
  <si>
    <t>MSH00031</t>
  </si>
  <si>
    <t>MSH00032</t>
  </si>
  <si>
    <t>MSH00033</t>
  </si>
  <si>
    <t>Kitchen Organizer</t>
  </si>
  <si>
    <t>Home Decor</t>
  </si>
  <si>
    <t>Storage</t>
  </si>
  <si>
    <t>MSH00034</t>
  </si>
  <si>
    <t>Pen Set 10pc</t>
  </si>
  <si>
    <t>Pen</t>
  </si>
  <si>
    <t>MSH00035</t>
  </si>
  <si>
    <t>MSH00036</t>
  </si>
  <si>
    <t>Palazzo Set</t>
  </si>
  <si>
    <t>MSH00037</t>
  </si>
  <si>
    <t>MSH00038</t>
  </si>
  <si>
    <t>Lipstick Set 6pc</t>
  </si>
  <si>
    <t>Lips</t>
  </si>
  <si>
    <t>MSH00039</t>
  </si>
  <si>
    <t>Bangles Set</t>
  </si>
  <si>
    <t>Bangles</t>
  </si>
  <si>
    <t>MSH00040</t>
  </si>
  <si>
    <t>MSH00041</t>
  </si>
  <si>
    <t>Bed Sheet King</t>
  </si>
  <si>
    <t>Bedding</t>
  </si>
  <si>
    <t>MSH00042</t>
  </si>
  <si>
    <t>MSH00043</t>
  </si>
  <si>
    <t>USB Cable 3in1</t>
  </si>
  <si>
    <t>Cable</t>
  </si>
  <si>
    <t>MSH00044</t>
  </si>
  <si>
    <t>MSH00045</t>
  </si>
  <si>
    <t>Leggings Pack of 3</t>
  </si>
  <si>
    <t>Women Bottom</t>
  </si>
  <si>
    <t>MSH00046</t>
  </si>
  <si>
    <t>MSH00047</t>
  </si>
  <si>
    <t>MSH00048</t>
  </si>
  <si>
    <t>MSH00049</t>
  </si>
  <si>
    <t>MSH00050</t>
  </si>
  <si>
    <t>MSH00051</t>
  </si>
  <si>
    <t>Maharashtra</t>
  </si>
  <si>
    <t>Mumbai</t>
  </si>
  <si>
    <t>MSH00052</t>
  </si>
  <si>
    <t>MSH00053</t>
  </si>
  <si>
    <t>MSH00054</t>
  </si>
  <si>
    <t>Wall Clock Wooden</t>
  </si>
  <si>
    <t>Decor</t>
  </si>
  <si>
    <t>MSH00055</t>
  </si>
  <si>
    <t>MSH00056</t>
  </si>
  <si>
    <t>MSH00057</t>
  </si>
  <si>
    <t>MSH00058</t>
  </si>
  <si>
    <t>MSH00059</t>
  </si>
  <si>
    <t>Skipping Rope</t>
  </si>
  <si>
    <t>Rope</t>
  </si>
  <si>
    <t>MSH00060</t>
  </si>
  <si>
    <t>MSH00061</t>
  </si>
  <si>
    <t>MSH00062</t>
  </si>
  <si>
    <t>MSH00063</t>
  </si>
  <si>
    <t>MSH00064</t>
  </si>
  <si>
    <t>MSH00065</t>
  </si>
  <si>
    <t>MSH00066</t>
  </si>
  <si>
    <t>MSH00067</t>
  </si>
  <si>
    <t>MSH00068</t>
  </si>
  <si>
    <t>MSH00069</t>
  </si>
  <si>
    <t>MSH00070</t>
  </si>
  <si>
    <t>MSH00071</t>
  </si>
  <si>
    <t>MSH00072</t>
  </si>
  <si>
    <t>MSH00073</t>
  </si>
  <si>
    <t>MSH00074</t>
  </si>
  <si>
    <t>MSH00075</t>
  </si>
  <si>
    <t>MSH00076</t>
  </si>
  <si>
    <t>MSH00077</t>
  </si>
  <si>
    <t>Earrings Combo 5pc</t>
  </si>
  <si>
    <t>Earrings</t>
  </si>
  <si>
    <t>MSH00078</t>
  </si>
  <si>
    <t>MSH00079</t>
  </si>
  <si>
    <t>MSH00080</t>
  </si>
  <si>
    <t>MSH00081</t>
  </si>
  <si>
    <t>MSH00082</t>
  </si>
  <si>
    <t>MSH00083</t>
  </si>
  <si>
    <t>MSH00084</t>
  </si>
  <si>
    <t>Necklace Oxidised</t>
  </si>
  <si>
    <t>Necklace</t>
  </si>
  <si>
    <t>MSH00085</t>
  </si>
  <si>
    <t>MSH00086</t>
  </si>
  <si>
    <t>MSH00087</t>
  </si>
  <si>
    <t>MSH00088</t>
  </si>
  <si>
    <t>MSH00089</t>
  </si>
  <si>
    <t>MSH00090</t>
  </si>
  <si>
    <t>MSH00091</t>
  </si>
  <si>
    <t>MSH00092</t>
  </si>
  <si>
    <t>MSH00093</t>
  </si>
  <si>
    <t>MSH00094</t>
  </si>
  <si>
    <t>MSH00095</t>
  </si>
  <si>
    <t>Puzzle 100pc</t>
  </si>
  <si>
    <t>Puzzle</t>
  </si>
  <si>
    <t>MSH00096</t>
  </si>
  <si>
    <t>MSH00097</t>
  </si>
  <si>
    <t>MSH00098</t>
  </si>
  <si>
    <t>Men Casual Shirt</t>
  </si>
  <si>
    <t>Men Top</t>
  </si>
  <si>
    <t>MSH00099</t>
  </si>
  <si>
    <t>MSH00100</t>
  </si>
  <si>
    <t>MSH00101</t>
  </si>
  <si>
    <t>MSH00102</t>
  </si>
  <si>
    <t>MSH00103</t>
  </si>
  <si>
    <t>MSH00104</t>
  </si>
  <si>
    <t>MSH00105</t>
  </si>
  <si>
    <t>MSH00106</t>
  </si>
  <si>
    <t>MSH00107</t>
  </si>
  <si>
    <t>MSH00108</t>
  </si>
  <si>
    <t>MSH00109</t>
  </si>
  <si>
    <t>MSH00110</t>
  </si>
  <si>
    <t>MSH00111</t>
  </si>
  <si>
    <t>MSH00112</t>
  </si>
  <si>
    <t>MSH00113</t>
  </si>
  <si>
    <t>Resistance Band Set</t>
  </si>
  <si>
    <t>Band</t>
  </si>
  <si>
    <t>MSH00114</t>
  </si>
  <si>
    <t>MSH00115</t>
  </si>
  <si>
    <t>MSH00116</t>
  </si>
  <si>
    <t>MSH00117</t>
  </si>
  <si>
    <t>MSH00118</t>
  </si>
  <si>
    <t>MSH00119</t>
  </si>
  <si>
    <t>MSH00120</t>
  </si>
  <si>
    <t>MSH00121</t>
  </si>
  <si>
    <t>MSH00122</t>
  </si>
  <si>
    <t>MSH00123</t>
  </si>
  <si>
    <t>MSH00124</t>
  </si>
  <si>
    <t>MSH00125</t>
  </si>
  <si>
    <t>MSH00126</t>
  </si>
  <si>
    <t>MSH00127</t>
  </si>
  <si>
    <t>MSH00128</t>
  </si>
  <si>
    <t>MSH00129</t>
  </si>
  <si>
    <t>Nail Polish 12pc</t>
  </si>
  <si>
    <t>Nails</t>
  </si>
  <si>
    <t>MSH00130</t>
  </si>
  <si>
    <t>MSH00131</t>
  </si>
  <si>
    <t>MSH00132</t>
  </si>
  <si>
    <t>MSH00133</t>
  </si>
  <si>
    <t>MSH00134</t>
  </si>
  <si>
    <t>MSH00135</t>
  </si>
  <si>
    <t>MSH00136</t>
  </si>
  <si>
    <t>MSH00137</t>
  </si>
  <si>
    <t>MSH00138</t>
  </si>
  <si>
    <t>MSH00139</t>
  </si>
  <si>
    <t>MSH00140</t>
  </si>
  <si>
    <t>MSH00141</t>
  </si>
  <si>
    <t>MSH00142</t>
  </si>
  <si>
    <t>MSH00143</t>
  </si>
  <si>
    <t>MSH00144</t>
  </si>
  <si>
    <t>MSH00145</t>
  </si>
  <si>
    <t>MSH00146</t>
  </si>
  <si>
    <t>MSH00147</t>
  </si>
  <si>
    <t>MSH00148</t>
  </si>
  <si>
    <t>MSH00149</t>
  </si>
  <si>
    <t>MSH00150</t>
  </si>
  <si>
    <t>MSH00151</t>
  </si>
  <si>
    <t>MSH00152</t>
  </si>
  <si>
    <t>MSH00153</t>
  </si>
  <si>
    <t>MSH00154</t>
  </si>
  <si>
    <t>MSH00155</t>
  </si>
  <si>
    <t>MSH00156</t>
  </si>
  <si>
    <t>MSH00157</t>
  </si>
  <si>
    <t>MSH00158</t>
  </si>
  <si>
    <t>MSH00159</t>
  </si>
  <si>
    <t>MSH00160</t>
  </si>
  <si>
    <t>MSH00161</t>
  </si>
  <si>
    <t>MSH00162</t>
  </si>
  <si>
    <t>MSH00163</t>
  </si>
  <si>
    <t>MSH00164</t>
  </si>
  <si>
    <t>MSH00165</t>
  </si>
  <si>
    <t>Curtain Set 2pc</t>
  </si>
  <si>
    <t>Window</t>
  </si>
  <si>
    <t>MSH00166</t>
  </si>
  <si>
    <t>MSH00167</t>
  </si>
  <si>
    <t>MSH00168</t>
  </si>
  <si>
    <t>MSH00169</t>
  </si>
  <si>
    <t>MSH00170</t>
  </si>
  <si>
    <t>MSH00171</t>
  </si>
  <si>
    <t>MSH00172</t>
  </si>
  <si>
    <t>MSH00173</t>
  </si>
  <si>
    <t>MSH00174</t>
  </si>
  <si>
    <t>MSH00175</t>
  </si>
  <si>
    <t>MSH00176</t>
  </si>
  <si>
    <t>MSH00177</t>
  </si>
  <si>
    <t>MSH00178</t>
  </si>
  <si>
    <t>MSH00179</t>
  </si>
  <si>
    <t>MSH00180</t>
  </si>
  <si>
    <t>MSH00181</t>
  </si>
  <si>
    <t>MSH00182</t>
  </si>
  <si>
    <t>MSH00183</t>
  </si>
  <si>
    <t>MSH00184</t>
  </si>
  <si>
    <t>MSH00185</t>
  </si>
  <si>
    <t>MSH00186</t>
  </si>
  <si>
    <t>MSH00187</t>
  </si>
  <si>
    <t>MSH00188</t>
  </si>
  <si>
    <t>MSH00189</t>
  </si>
  <si>
    <t>MSH00190</t>
  </si>
  <si>
    <t>MSH00191</t>
  </si>
  <si>
    <t>MSH00192</t>
  </si>
  <si>
    <t>MSH00193</t>
  </si>
  <si>
    <t>MSH00194</t>
  </si>
  <si>
    <t>MSH00195</t>
  </si>
  <si>
    <t>MSH00196</t>
  </si>
  <si>
    <t>MSH00197</t>
  </si>
  <si>
    <t>MSH00198</t>
  </si>
  <si>
    <t>MSH00199</t>
  </si>
  <si>
    <t>MSH00200</t>
  </si>
  <si>
    <t>MSH00201</t>
  </si>
  <si>
    <t>MSH00202</t>
  </si>
  <si>
    <t>MSH00203</t>
  </si>
  <si>
    <t>MSH00204</t>
  </si>
  <si>
    <t>MSH00205</t>
  </si>
  <si>
    <t>MSH00206</t>
  </si>
  <si>
    <t>MSH00207</t>
  </si>
  <si>
    <t>MSH00208</t>
  </si>
  <si>
    <t>MSH00209</t>
  </si>
  <si>
    <t>MSH00210</t>
  </si>
  <si>
    <t>MSH00211</t>
  </si>
  <si>
    <t>MSH00212</t>
  </si>
  <si>
    <t>MSH00213</t>
  </si>
  <si>
    <t>MSH00214</t>
  </si>
  <si>
    <t>MSH00215</t>
  </si>
  <si>
    <t>MSH00216</t>
  </si>
  <si>
    <t>MSH00217</t>
  </si>
  <si>
    <t>MSH00218</t>
  </si>
  <si>
    <t>MSH00219</t>
  </si>
  <si>
    <t>MSH00220</t>
  </si>
  <si>
    <t>MSH00221</t>
  </si>
  <si>
    <t>MSH00222</t>
  </si>
  <si>
    <t>MSH00223</t>
  </si>
  <si>
    <t>MSH00224</t>
  </si>
  <si>
    <t>MSH00225</t>
  </si>
  <si>
    <t>MSH00226</t>
  </si>
  <si>
    <t>MSH00227</t>
  </si>
  <si>
    <t>MSH00228</t>
  </si>
  <si>
    <t>MSH00229</t>
  </si>
  <si>
    <t>MSH00230</t>
  </si>
  <si>
    <t>MSH00231</t>
  </si>
  <si>
    <t>MSH00232</t>
  </si>
  <si>
    <t>MSH00233</t>
  </si>
  <si>
    <t>MSH00234</t>
  </si>
  <si>
    <t>MSH00235</t>
  </si>
  <si>
    <t>MSH00236</t>
  </si>
  <si>
    <t>MSH00237</t>
  </si>
  <si>
    <t>MSH00238</t>
  </si>
  <si>
    <t>MSH00239</t>
  </si>
  <si>
    <t>MSH00240</t>
  </si>
  <si>
    <t>MSH00241</t>
  </si>
  <si>
    <t>MSH00242</t>
  </si>
  <si>
    <t>MSH00243</t>
  </si>
  <si>
    <t>MSH00244</t>
  </si>
  <si>
    <t>MSH00245</t>
  </si>
  <si>
    <t>MSH00246</t>
  </si>
  <si>
    <t>MSH00247</t>
  </si>
  <si>
    <t>MSH00248</t>
  </si>
  <si>
    <t>MSH00249</t>
  </si>
  <si>
    <t>MSH00250</t>
  </si>
  <si>
    <t>MSH00251</t>
  </si>
  <si>
    <t>MSH00252</t>
  </si>
  <si>
    <t>MSH00253</t>
  </si>
  <si>
    <t>MSH00254</t>
  </si>
  <si>
    <t>MSH00255</t>
  </si>
  <si>
    <t>MSH00256</t>
  </si>
  <si>
    <t>MSH00257</t>
  </si>
  <si>
    <t>MSH00258</t>
  </si>
  <si>
    <t>MSH00259</t>
  </si>
  <si>
    <t>MSH00260</t>
  </si>
  <si>
    <t>MSH00261</t>
  </si>
  <si>
    <t>MSH00262</t>
  </si>
  <si>
    <t>MSH00263</t>
  </si>
  <si>
    <t>MSH00264</t>
  </si>
  <si>
    <t>MSH00265</t>
  </si>
  <si>
    <t>MSH00266</t>
  </si>
  <si>
    <t>MSH00267</t>
  </si>
  <si>
    <t>MSH00268</t>
  </si>
  <si>
    <t>MSH00269</t>
  </si>
  <si>
    <t>MSH00270</t>
  </si>
  <si>
    <t>MSH00271</t>
  </si>
  <si>
    <t>MSH00272</t>
  </si>
  <si>
    <t>MSH00273</t>
  </si>
  <si>
    <t>MSH00274</t>
  </si>
  <si>
    <t>MSH00275</t>
  </si>
  <si>
    <t>MSH00276</t>
  </si>
  <si>
    <t>MSH00277</t>
  </si>
  <si>
    <t>MSH00278</t>
  </si>
  <si>
    <t>MSH00279</t>
  </si>
  <si>
    <t>MSH00280</t>
  </si>
  <si>
    <t>MSH00281</t>
  </si>
  <si>
    <t>MSH00282</t>
  </si>
  <si>
    <t>MSH00283</t>
  </si>
  <si>
    <t>MSH00284</t>
  </si>
  <si>
    <t>MSH00285</t>
  </si>
  <si>
    <t>MSH00286</t>
  </si>
  <si>
    <t>MSH00287</t>
  </si>
  <si>
    <t>MSH00288</t>
  </si>
  <si>
    <t>MSH00289</t>
  </si>
  <si>
    <t>MSH00290</t>
  </si>
  <si>
    <t>MSH00291</t>
  </si>
  <si>
    <t>MSH00292</t>
  </si>
  <si>
    <t>MSH00293</t>
  </si>
  <si>
    <t>MSH00294</t>
  </si>
  <si>
    <t>MSH00295</t>
  </si>
  <si>
    <t>MSH00296</t>
  </si>
  <si>
    <t>MSH00297</t>
  </si>
  <si>
    <t>MSH00298</t>
  </si>
  <si>
    <t>MSH00299</t>
  </si>
  <si>
    <t>MSH00300</t>
  </si>
  <si>
    <t>Slicer</t>
  </si>
  <si>
    <t>Chart</t>
  </si>
  <si>
    <t xml:space="preserve">Average </t>
  </si>
  <si>
    <t>Card</t>
  </si>
  <si>
    <t>Map</t>
  </si>
  <si>
    <t xml:space="preserve">Total selling </t>
  </si>
  <si>
    <t>Column</t>
  </si>
  <si>
    <t>Total Cost</t>
  </si>
  <si>
    <t>Row Labels</t>
  </si>
  <si>
    <t>Grand Total</t>
  </si>
  <si>
    <t>Sum of Selling_Price</t>
  </si>
  <si>
    <t xml:space="preserve">Timeline Slider </t>
  </si>
  <si>
    <t>Sum of Orders_Count</t>
  </si>
  <si>
    <t>Count of Payment_Mode</t>
  </si>
  <si>
    <t>Count of Customer_State</t>
  </si>
  <si>
    <t>Jan</t>
  </si>
  <si>
    <t>Feb</t>
  </si>
  <si>
    <t>Mar</t>
  </si>
  <si>
    <t>Apr</t>
  </si>
  <si>
    <t>May</t>
  </si>
  <si>
    <t>Jun</t>
  </si>
  <si>
    <t>Jul</t>
  </si>
  <si>
    <t>Aug</t>
  </si>
  <si>
    <t>Sep</t>
  </si>
  <si>
    <t>Oct</t>
  </si>
  <si>
    <t>Nov</t>
  </si>
  <si>
    <t>Dec</t>
  </si>
  <si>
    <t>Average of Delivery_Days</t>
  </si>
  <si>
    <t>Uttar Pradesh</t>
  </si>
  <si>
    <t>West Bengal</t>
  </si>
  <si>
    <t>Madhya Pradesh</t>
  </si>
  <si>
    <t>Tamil Nadu</t>
  </si>
  <si>
    <t>Profite</t>
  </si>
  <si>
    <t>Total cost</t>
  </si>
  <si>
    <t>Margin</t>
  </si>
  <si>
    <t>MSH00301</t>
  </si>
  <si>
    <t>MSH00302</t>
  </si>
  <si>
    <t>MSH00303</t>
  </si>
  <si>
    <t>Profit</t>
  </si>
  <si>
    <t>Gender</t>
  </si>
  <si>
    <t>Male</t>
  </si>
  <si>
    <t>Female</t>
  </si>
  <si>
    <t>Pai chart</t>
  </si>
  <si>
    <t>Sum of Cost_Price</t>
  </si>
  <si>
    <t>Sum of Shipping_Charge</t>
  </si>
  <si>
    <t>Sum of Platform_Fee</t>
  </si>
  <si>
    <t>Sum of Ad_Spend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</si>
</sst>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quot;\ * #,##0.00_ ;_ &quot;₹&quot;\ * \-#,##0.00_ ;_ &quot;₹&quot;\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sz val="8"/>
      <name val="Calibri"/>
      <family val="2"/>
      <scheme val="minor"/>
    </font>
  </fonts>
  <fills count="21">
    <fill>
      <patternFill patternType="none"/>
    </fill>
    <fill>
      <patternFill patternType="gray125"/>
    </fill>
    <fill>
      <patternFill patternType="solid">
        <fgColor rgb="FFFF00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00B0F0"/>
        <bgColor indexed="64"/>
      </patternFill>
    </fill>
    <fill>
      <patternFill patternType="solid">
        <fgColor theme="3" tint="0.39997558519241921"/>
        <bgColor indexed="64"/>
      </patternFill>
    </fill>
    <fill>
      <patternFill patternType="solid">
        <fgColor rgb="FFC0000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7C8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rgb="FFCC00CC"/>
        <bgColor indexed="64"/>
      </patternFill>
    </fill>
    <fill>
      <patternFill patternType="solid">
        <fgColor rgb="FFFFABFF"/>
        <bgColor indexed="64"/>
      </patternFill>
    </fill>
    <fill>
      <patternFill patternType="solid">
        <fgColor rgb="FFFFE1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theme="4" tint="0.39997558519241921"/>
      </bottom>
      <diagonal/>
    </border>
    <border>
      <left/>
      <right/>
      <top style="thin">
        <color indexed="64"/>
      </top>
      <bottom/>
      <diagonal/>
    </border>
    <border>
      <left style="thin">
        <color indexed="64"/>
      </left>
      <right/>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4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0" borderId="0" xfId="0" pivotButton="1"/>
    <xf numFmtId="0" fontId="0" fillId="0" borderId="0" xfId="0" applyAlignment="1">
      <alignment horizontal="left"/>
    </xf>
    <xf numFmtId="0" fontId="0" fillId="14" borderId="0" xfId="0" applyFill="1"/>
    <xf numFmtId="0" fontId="0" fillId="15" borderId="0" xfId="0" applyFill="1"/>
    <xf numFmtId="0" fontId="0" fillId="16" borderId="0" xfId="0" applyFill="1"/>
    <xf numFmtId="10" fontId="0" fillId="0" borderId="0" xfId="0" applyNumberFormat="1"/>
    <xf numFmtId="2" fontId="0" fillId="0" borderId="0" xfId="0" applyNumberFormat="1"/>
    <xf numFmtId="0" fontId="2" fillId="17" borderId="5" xfId="0" applyFont="1" applyFill="1" applyBorder="1"/>
    <xf numFmtId="10" fontId="0" fillId="0" borderId="0" xfId="1" applyNumberFormat="1" applyFont="1"/>
    <xf numFmtId="0" fontId="0" fillId="0" borderId="3" xfId="0" applyBorder="1"/>
    <xf numFmtId="0" fontId="0" fillId="0" borderId="8" xfId="0" applyBorder="1"/>
    <xf numFmtId="0" fontId="0" fillId="0" borderId="2" xfId="0" applyBorder="1"/>
    <xf numFmtId="0" fontId="0" fillId="0" borderId="0" xfId="0" applyAlignment="1">
      <alignment horizontal="center"/>
    </xf>
    <xf numFmtId="0" fontId="0" fillId="19" borderId="4" xfId="0" applyFill="1" applyBorder="1" applyAlignment="1">
      <alignment horizontal="center"/>
    </xf>
    <xf numFmtId="15" fontId="0" fillId="19" borderId="4" xfId="0" applyNumberFormat="1" applyFill="1" applyBorder="1" applyAlignment="1">
      <alignment horizontal="center"/>
    </xf>
    <xf numFmtId="0" fontId="0" fillId="20" borderId="4" xfId="0" applyFill="1" applyBorder="1" applyAlignment="1">
      <alignment horizontal="center"/>
    </xf>
    <xf numFmtId="15" fontId="0" fillId="20" borderId="4" xfId="0" applyNumberFormat="1" applyFill="1" applyBorder="1" applyAlignment="1">
      <alignment horizontal="center"/>
    </xf>
    <xf numFmtId="0" fontId="0" fillId="19" borderId="6" xfId="0" applyFill="1" applyBorder="1" applyAlignment="1">
      <alignment horizontal="center"/>
    </xf>
    <xf numFmtId="0" fontId="0" fillId="20" borderId="6" xfId="0" applyFill="1" applyBorder="1" applyAlignment="1">
      <alignment horizontal="center"/>
    </xf>
    <xf numFmtId="0" fontId="3" fillId="18" borderId="0" xfId="0" applyFont="1" applyFill="1" applyAlignment="1">
      <alignment horizontal="center"/>
    </xf>
    <xf numFmtId="0" fontId="3" fillId="18" borderId="7" xfId="0" applyFont="1" applyFill="1" applyBorder="1" applyAlignment="1">
      <alignment horizontal="center"/>
    </xf>
    <xf numFmtId="0" fontId="0" fillId="3" borderId="1" xfId="0" applyFill="1" applyBorder="1" applyAlignment="1">
      <alignment horizontal="center"/>
    </xf>
    <xf numFmtId="0" fontId="0" fillId="5" borderId="1" xfId="0" applyFill="1" applyBorder="1" applyAlignment="1">
      <alignment horizontal="center"/>
    </xf>
    <xf numFmtId="164" fontId="0" fillId="0" borderId="0" xfId="2" applyFont="1"/>
    <xf numFmtId="164" fontId="0" fillId="16" borderId="1" xfId="2" applyFont="1" applyFill="1" applyBorder="1"/>
    <xf numFmtId="10" fontId="0" fillId="10" borderId="1" xfId="1" applyNumberFormat="1" applyFont="1" applyFill="1" applyBorder="1"/>
    <xf numFmtId="0" fontId="0" fillId="0" borderId="0" xfId="0" applyNumberFormat="1"/>
  </cellXfs>
  <cellStyles count="3">
    <cellStyle name="Currency" xfId="2" builtinId="4"/>
    <cellStyle name="Normal" xfId="0" builtinId="0"/>
    <cellStyle name="Percent" xfId="1" builtinId="5"/>
  </cellStyles>
  <dxfs count="34">
    <dxf>
      <numFmt numFmtId="165" formatCode="0.00000000"/>
    </dxf>
    <dxf>
      <numFmt numFmtId="2" formatCode="0.00"/>
    </dxf>
    <dxf>
      <numFmt numFmtId="165" formatCode="0.00000000"/>
    </dxf>
    <dxf>
      <numFmt numFmtId="2" formatCode="0.00"/>
    </dxf>
    <dxf>
      <numFmt numFmtId="2" formatCode="0.00"/>
    </dxf>
    <dxf>
      <numFmt numFmtId="165" formatCode="0.00000000"/>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AB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66" formatCode="dd/mmm/yy"/>
      <fill>
        <patternFill patternType="solid">
          <fgColor indexed="64"/>
          <bgColor rgb="FFFFE1FF"/>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rgb="FFFFE1FF"/>
        </patternFill>
      </fill>
      <alignment horizontal="center"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E1FF"/>
        </patternFill>
      </fill>
      <alignment horizontal="center" vertical="bottom" textRotation="0" wrapText="0" indent="0" justifyLastLine="0" shrinkToFit="0" readingOrder="0"/>
    </dxf>
    <dxf>
      <font>
        <b/>
        <i val="0"/>
        <strike val="0"/>
        <condense val="0"/>
        <extend val="0"/>
        <outline val="0"/>
        <shadow val="0"/>
        <u val="none"/>
        <vertAlign val="baseline"/>
        <sz val="14"/>
        <color theme="0"/>
        <name val="Calibri"/>
        <family val="2"/>
        <scheme val="minor"/>
      </font>
      <fill>
        <patternFill patternType="solid">
          <fgColor indexed="64"/>
          <bgColor rgb="FFCC00CC"/>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z val="11"/>
        <color theme="1"/>
        <name val="Calibri"/>
        <family val="2"/>
        <scheme val="minor"/>
      </font>
      <border diagonalUp="0" diagonalDown="0">
        <left style="thin">
          <color auto="1"/>
        </left>
        <right style="thin">
          <color auto="1"/>
        </right>
        <top style="thin">
          <color auto="1"/>
        </top>
        <bottom style="thin">
          <color auto="1"/>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FFE1FF"/>
        </patternFill>
      </fill>
      <border>
        <left style="thin">
          <color auto="1"/>
        </left>
        <right style="thin">
          <color auto="1"/>
        </right>
        <top style="thin">
          <color auto="1"/>
        </top>
        <bottom style="thin">
          <color auto="1"/>
        </bottom>
      </border>
    </dxf>
    <dxf>
      <fill>
        <patternFill>
          <bgColor rgb="FFFFABFF"/>
        </patternFill>
      </fill>
      <border>
        <left style="thin">
          <color auto="1"/>
        </left>
        <right style="thin">
          <color auto="1"/>
        </right>
        <top style="thin">
          <color auto="1"/>
        </top>
        <bottom style="thin">
          <color auto="1"/>
        </bottom>
      </border>
    </dxf>
    <dxf>
      <font>
        <b/>
        <i val="0"/>
        <color theme="0"/>
      </font>
      <fill>
        <patternFill>
          <bgColor rgb="FFCC00CC"/>
        </patternFill>
      </fill>
      <border>
        <left style="thin">
          <color auto="1"/>
        </left>
        <right style="thin">
          <color auto="1"/>
        </right>
        <top style="thin">
          <color auto="1"/>
        </top>
        <bottom style="thin">
          <color auto="1"/>
        </bottom>
      </border>
    </dxf>
    <dxf>
      <font>
        <b/>
        <i val="0"/>
      </font>
      <fill>
        <patternFill>
          <bgColor theme="0"/>
        </patternFill>
      </fill>
      <border>
        <bottom style="thin">
          <color auto="1"/>
        </bottom>
      </border>
    </dxf>
  </dxfs>
  <tableStyles count="3" defaultTableStyle="TableStyleMedium9" defaultPivotStyle="PivotStyleLight16">
    <tableStyle name="Slicer Style 1" pivot="0" table="0" count="4" xr9:uid="{39EF48A2-1D19-4763-9370-A74648625DDE}">
      <tableStyleElement type="headerRow" dxfId="33"/>
    </tableStyle>
    <tableStyle name="Table Style 1" pivot="0" count="3" xr9:uid="{5955B01F-A256-448D-8A9F-75357404995E}">
      <tableStyleElement type="headerRow" dxfId="32"/>
      <tableStyleElement type="firstRowStripe" dxfId="31"/>
      <tableStyleElement type="secondRowStripe" dxfId="30"/>
    </tableStyle>
    <tableStyle name="Timeline Style 1" pivot="0" table="0" count="8" xr9:uid="{6748896C-3D6E-4D1D-B3F8-0A6D23801858}">
      <tableStyleElement type="wholeTable" dxfId="29"/>
      <tableStyleElement type="headerRow" dxfId="28"/>
    </tableStyle>
  </tableStyles>
  <colors>
    <mruColors>
      <color rgb="FFFFFFFF"/>
      <color rgb="FF7F137A"/>
      <color rgb="FFDBAB13"/>
      <color rgb="FFDE8610"/>
      <color rgb="FFDA80BE"/>
      <color rgb="FFC068BC"/>
      <color rgb="FFFFB3FF"/>
      <color rgb="FFFFCCFF"/>
      <color rgb="FFFF00FF"/>
      <color rgb="FFCC00CC"/>
    </mruColors>
  </colors>
  <extLst>
    <ext xmlns:x14="http://schemas.microsoft.com/office/spreadsheetml/2009/9/main" uri="{46F421CA-312F-682f-3DD2-61675219B42D}">
      <x14:dxfs count="3">
        <dxf>
          <font>
            <b/>
            <i val="0"/>
          </font>
          <fill>
            <patternFill>
              <bgColor rgb="FFFFC000"/>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border>
        </dxf>
        <dxf>
          <font>
            <b/>
            <i val="0"/>
          </font>
          <fill>
            <patternFill>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FC000"/>
            </patternFill>
          </fill>
          <border diagonalUp="0" diagonalDown="0">
            <left style="thin">
              <color auto="1"/>
            </left>
            <right style="thin">
              <color auto="1"/>
            </right>
            <top style="thin">
              <color auto="1"/>
            </top>
            <bottom style="thin">
              <color auto="1"/>
            </bottom>
            <vertical/>
            <horizontal/>
          </border>
        </dxf>
        <dxf>
          <font>
            <b/>
            <i val="0"/>
            <sz val="9"/>
            <color theme="1"/>
            <name val="Calibri"/>
            <family val="2"/>
            <scheme val="minor"/>
          </font>
        </dxf>
        <dxf>
          <font>
            <b/>
            <i val="0"/>
            <sz val="9"/>
            <color theme="1"/>
            <name val="Calibri"/>
            <family val="2"/>
            <scheme val="minor"/>
          </font>
        </dxf>
        <dxf>
          <font>
            <b/>
            <i val="0"/>
            <sz val="9"/>
            <color theme="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Dashboard.xlsx]KPI!MonthTable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MONTHLY</a:t>
            </a:r>
            <a:r>
              <a:rPr lang="en-US" b="1" baseline="0">
                <a:latin typeface="Arial Black" panose="020B0A04020102020204" pitchFamily="34" charset="0"/>
              </a:rPr>
              <a:t> ORDER</a:t>
            </a:r>
            <a:endParaRPr lang="en-US" b="1">
              <a:latin typeface="Arial Black" panose="020B0A04020102020204" pitchFamily="34" charset="0"/>
            </a:endParaRPr>
          </a:p>
        </c:rich>
      </c:tx>
      <c:layout>
        <c:manualLayout>
          <c:xMode val="edge"/>
          <c:yMode val="edge"/>
          <c:x val="0.40329970024370393"/>
          <c:y val="5.00631899949306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F137A"/>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7388509060891"/>
          <c:y val="0.10658216630912877"/>
          <c:w val="0.77784411152413258"/>
          <c:h val="0.74597464358556498"/>
        </c:manualLayout>
      </c:layout>
      <c:lineChart>
        <c:grouping val="standard"/>
        <c:varyColors val="0"/>
        <c:ser>
          <c:idx val="0"/>
          <c:order val="0"/>
          <c:tx>
            <c:strRef>
              <c:f>KPI!$B$2</c:f>
              <c:strCache>
                <c:ptCount val="1"/>
                <c:pt idx="0">
                  <c:v>Total</c:v>
                </c:pt>
              </c:strCache>
            </c:strRef>
          </c:tx>
          <c:spPr>
            <a:ln w="28575" cap="rnd">
              <a:solidFill>
                <a:srgbClr val="7F137A"/>
              </a:solidFill>
              <a:round/>
            </a:ln>
            <a:effectLst/>
          </c:spPr>
          <c:marker>
            <c:symbol val="circle"/>
            <c:size val="5"/>
            <c:spPr>
              <a:solidFill>
                <a:srgbClr val="FFC000"/>
              </a:solidFill>
              <a:ln w="9525">
                <a:solidFill>
                  <a:srgbClr val="FFC000"/>
                </a:solidFill>
              </a:ln>
              <a:effectLst/>
            </c:spPr>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3508</c:v>
                </c:pt>
                <c:pt idx="1">
                  <c:v>1780</c:v>
                </c:pt>
                <c:pt idx="2">
                  <c:v>1898</c:v>
                </c:pt>
                <c:pt idx="3">
                  <c:v>3118</c:v>
                </c:pt>
                <c:pt idx="4">
                  <c:v>3541</c:v>
                </c:pt>
                <c:pt idx="5">
                  <c:v>2681</c:v>
                </c:pt>
                <c:pt idx="6">
                  <c:v>2652</c:v>
                </c:pt>
                <c:pt idx="7">
                  <c:v>3329</c:v>
                </c:pt>
                <c:pt idx="8">
                  <c:v>2139</c:v>
                </c:pt>
                <c:pt idx="9">
                  <c:v>2723</c:v>
                </c:pt>
                <c:pt idx="10">
                  <c:v>2288</c:v>
                </c:pt>
                <c:pt idx="11">
                  <c:v>3358</c:v>
                </c:pt>
              </c:numCache>
            </c:numRef>
          </c:val>
          <c:smooth val="0"/>
          <c:extLst>
            <c:ext xmlns:c16="http://schemas.microsoft.com/office/drawing/2014/chart" uri="{C3380CC4-5D6E-409C-BE32-E72D297353CC}">
              <c16:uniqueId val="{00000000-40B1-4396-B057-FE64CD914F6A}"/>
            </c:ext>
          </c:extLst>
        </c:ser>
        <c:dLbls>
          <c:showLegendKey val="0"/>
          <c:showVal val="0"/>
          <c:showCatName val="0"/>
          <c:showSerName val="0"/>
          <c:showPercent val="0"/>
          <c:showBubbleSize val="0"/>
        </c:dLbls>
        <c:marker val="1"/>
        <c:smooth val="0"/>
        <c:axId val="1066532656"/>
        <c:axId val="1066536016"/>
      </c:lineChart>
      <c:catAx>
        <c:axId val="106653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6536016"/>
        <c:crosses val="autoZero"/>
        <c:auto val="1"/>
        <c:lblAlgn val="ctr"/>
        <c:lblOffset val="100"/>
        <c:noMultiLvlLbl val="0"/>
      </c:catAx>
      <c:valAx>
        <c:axId val="1066536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653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Dashboard.xlsx]KPI!PivotTable10</c:name>
    <c:fmtId val="0"/>
  </c:pivotSource>
  <c:chart>
    <c:autoTitleDeleted val="1"/>
    <c:pivotFmts>
      <c:pivotFmt>
        <c:idx val="0"/>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KPI!$K$23</c:f>
              <c:strCache>
                <c:ptCount val="1"/>
                <c:pt idx="0">
                  <c:v>Total</c:v>
                </c:pt>
              </c:strCache>
            </c:strRef>
          </c:tx>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KPI!$J$24:$J$27</c:f>
              <c:strCache>
                <c:ptCount val="3"/>
                <c:pt idx="0">
                  <c:v>COD</c:v>
                </c:pt>
                <c:pt idx="1">
                  <c:v>Prepaid</c:v>
                </c:pt>
                <c:pt idx="2">
                  <c:v>UPI</c:v>
                </c:pt>
              </c:strCache>
            </c:strRef>
          </c:cat>
          <c:val>
            <c:numRef>
              <c:f>KPI!$K$24:$K$27</c:f>
              <c:numCache>
                <c:formatCode>0.00%</c:formatCode>
                <c:ptCount val="3"/>
                <c:pt idx="0">
                  <c:v>0.31683168316831684</c:v>
                </c:pt>
                <c:pt idx="1">
                  <c:v>0.53465346534653468</c:v>
                </c:pt>
                <c:pt idx="2">
                  <c:v>0.14851485148514851</c:v>
                </c:pt>
              </c:numCache>
            </c:numRef>
          </c:val>
          <c:extLst>
            <c:ext xmlns:c16="http://schemas.microsoft.com/office/drawing/2014/chart" uri="{C3380CC4-5D6E-409C-BE32-E72D297353CC}">
              <c16:uniqueId val="{00000000-0215-4565-BDBD-B483CB3F1D24}"/>
            </c:ext>
          </c:extLst>
        </c:ser>
        <c:dLbls>
          <c:dLblPos val="outEnd"/>
          <c:showLegendKey val="0"/>
          <c:showVal val="1"/>
          <c:showCatName val="0"/>
          <c:showSerName val="0"/>
          <c:showPercent val="0"/>
          <c:showBubbleSize val="0"/>
        </c:dLbls>
        <c:gapWidth val="100"/>
        <c:overlap val="-24"/>
        <c:axId val="1964296496"/>
        <c:axId val="1603639568"/>
      </c:barChart>
      <c:catAx>
        <c:axId val="1964296496"/>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3639568"/>
        <c:crosses val="autoZero"/>
        <c:auto val="1"/>
        <c:lblAlgn val="ctr"/>
        <c:lblOffset val="100"/>
        <c:noMultiLvlLbl val="0"/>
      </c:catAx>
      <c:valAx>
        <c:axId val="1603639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42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Dashboard.xlsx]KPI!PivotTable1</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KPI!$I$15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1A8-4DDA-9AB8-EAAFA1E4E5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1A8-4DDA-9AB8-EAAFA1E4E5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KPI!$H$16:$H$18</c:f>
              <c:strCache>
                <c:ptCount val="2"/>
                <c:pt idx="0">
                  <c:v>Female</c:v>
                </c:pt>
                <c:pt idx="1">
                  <c:v>Male</c:v>
                </c:pt>
              </c:strCache>
            </c:strRef>
          </c:cat>
          <c:val>
            <c:numRef>
              <c:f>KPI!$I$16:$I$18</c:f>
              <c:numCache>
                <c:formatCode>General</c:formatCode>
                <c:ptCount val="2"/>
                <c:pt idx="0">
                  <c:v>14775</c:v>
                </c:pt>
                <c:pt idx="1">
                  <c:v>18240</c:v>
                </c:pt>
              </c:numCache>
            </c:numRef>
          </c:val>
          <c:extLst>
            <c:ext xmlns:c16="http://schemas.microsoft.com/office/drawing/2014/chart" uri="{C3380CC4-5D6E-409C-BE32-E72D297353CC}">
              <c16:uniqueId val="{00000000-C4DF-433D-930E-C9C69C0603F4}"/>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Dashboard.xlsx]KPI!PivotTable1</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DE8610"/>
          </a:solidFill>
          <a:ln>
            <a:noFill/>
          </a:ln>
          <a:effectLst>
            <a:outerShdw blurRad="254000" sx="102000" sy="102000" algn="ctr" rotWithShape="0">
              <a:prstClr val="black">
                <a:alpha val="20000"/>
              </a:prstClr>
            </a:outerShdw>
          </a:effectLst>
          <a:sp3d/>
        </c:spPr>
        <c:dLbl>
          <c:idx val="0"/>
          <c:layout>
            <c:manualLayout>
              <c:x val="-0.16358828182515839"/>
              <c:y val="3.93342469195314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1426664235891"/>
                  <c:h val="0.20691731225186874"/>
                </c:manualLayout>
              </c15:layout>
            </c:ext>
          </c:extLst>
        </c:dLbl>
      </c:pivotFmt>
      <c:pivotFmt>
        <c:idx val="6"/>
        <c:spPr>
          <a:solidFill>
            <a:srgbClr val="7F137A"/>
          </a:solidFill>
          <a:ln>
            <a:noFill/>
          </a:ln>
          <a:effectLst>
            <a:outerShdw blurRad="254000" sx="102000" sy="102000" algn="ctr" rotWithShape="0">
              <a:prstClr val="black">
                <a:alpha val="20000"/>
              </a:prstClr>
            </a:outerShdw>
          </a:effectLst>
          <a:sp3d/>
        </c:spPr>
        <c:dLbl>
          <c:idx val="0"/>
          <c:layout>
            <c:manualLayout>
              <c:x val="0.23391321694389888"/>
              <c:y val="-3.752839651759257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08302753562628"/>
                  <c:h val="0.18967081001993277"/>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1.0543106869272244E-2"/>
          <c:w val="1"/>
          <c:h val="0.98945708932782095"/>
        </c:manualLayout>
      </c:layout>
      <c:pie3DChart>
        <c:varyColors val="1"/>
        <c:ser>
          <c:idx val="0"/>
          <c:order val="0"/>
          <c:tx>
            <c:strRef>
              <c:f>KPI!$I$15</c:f>
              <c:strCache>
                <c:ptCount val="1"/>
                <c:pt idx="0">
                  <c:v>Total</c:v>
                </c:pt>
              </c:strCache>
            </c:strRef>
          </c:tx>
          <c:dPt>
            <c:idx val="0"/>
            <c:bubble3D val="0"/>
            <c:spPr>
              <a:solidFill>
                <a:srgbClr val="DE861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EEC-4238-942E-1C84ED491CA7}"/>
              </c:ext>
            </c:extLst>
          </c:dPt>
          <c:dPt>
            <c:idx val="1"/>
            <c:bubble3D val="0"/>
            <c:spPr>
              <a:solidFill>
                <a:srgbClr val="7F137A"/>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EEC-4238-942E-1C84ED491CA7}"/>
              </c:ext>
            </c:extLst>
          </c:dPt>
          <c:dLbls>
            <c:dLbl>
              <c:idx val="0"/>
              <c:layout>
                <c:manualLayout>
                  <c:x val="-0.16358828182515839"/>
                  <c:y val="3.93342469195314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1426664235891"/>
                      <c:h val="0.20691731225186874"/>
                    </c:manualLayout>
                  </c15:layout>
                </c:ext>
                <c:ext xmlns:c16="http://schemas.microsoft.com/office/drawing/2014/chart" uri="{C3380CC4-5D6E-409C-BE32-E72D297353CC}">
                  <c16:uniqueId val="{00000001-8EEC-4238-942E-1C84ED491CA7}"/>
                </c:ext>
              </c:extLst>
            </c:dLbl>
            <c:dLbl>
              <c:idx val="1"/>
              <c:layout>
                <c:manualLayout>
                  <c:x val="0.23391321694389888"/>
                  <c:y val="-3.752839651759257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08302753562628"/>
                      <c:h val="0.18967081001993277"/>
                    </c:manualLayout>
                  </c15:layout>
                </c:ext>
                <c:ext xmlns:c16="http://schemas.microsoft.com/office/drawing/2014/chart" uri="{C3380CC4-5D6E-409C-BE32-E72D297353CC}">
                  <c16:uniqueId val="{00000003-8EEC-4238-942E-1C84ED491CA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KPI!$H$16:$H$18</c:f>
              <c:strCache>
                <c:ptCount val="2"/>
                <c:pt idx="0">
                  <c:v>Female</c:v>
                </c:pt>
                <c:pt idx="1">
                  <c:v>Male</c:v>
                </c:pt>
              </c:strCache>
            </c:strRef>
          </c:cat>
          <c:val>
            <c:numRef>
              <c:f>KPI!$I$16:$I$18</c:f>
              <c:numCache>
                <c:formatCode>General</c:formatCode>
                <c:ptCount val="2"/>
                <c:pt idx="0">
                  <c:v>14775</c:v>
                </c:pt>
                <c:pt idx="1">
                  <c:v>18240</c:v>
                </c:pt>
              </c:numCache>
            </c:numRef>
          </c:val>
          <c:extLst>
            <c:ext xmlns:c16="http://schemas.microsoft.com/office/drawing/2014/chart" uri="{C3380CC4-5D6E-409C-BE32-E72D297353CC}">
              <c16:uniqueId val="{00000004-8EEC-4238-942E-1C84ED491CA7}"/>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Dashboard.xlsx]KPI!PivotTable10</c:name>
    <c:fmtId val="5"/>
  </c:pivotSource>
  <c:chart>
    <c:autoTitleDeleted val="1"/>
    <c:pivotFmts>
      <c:pivotFmt>
        <c:idx val="0"/>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KPI!$K$23</c:f>
              <c:strCache>
                <c:ptCount val="1"/>
                <c:pt idx="0">
                  <c:v>Total</c:v>
                </c:pt>
              </c:strCache>
            </c:strRef>
          </c:tx>
          <c:spPr>
            <a:solidFill>
              <a:srgbClr val="7F137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KPI!$J$24:$J$27</c:f>
              <c:strCache>
                <c:ptCount val="3"/>
                <c:pt idx="0">
                  <c:v>COD</c:v>
                </c:pt>
                <c:pt idx="1">
                  <c:v>Prepaid</c:v>
                </c:pt>
                <c:pt idx="2">
                  <c:v>UPI</c:v>
                </c:pt>
              </c:strCache>
            </c:strRef>
          </c:cat>
          <c:val>
            <c:numRef>
              <c:f>KPI!$K$24:$K$27</c:f>
              <c:numCache>
                <c:formatCode>0.00%</c:formatCode>
                <c:ptCount val="3"/>
                <c:pt idx="0">
                  <c:v>0.31683168316831684</c:v>
                </c:pt>
                <c:pt idx="1">
                  <c:v>0.53465346534653468</c:v>
                </c:pt>
                <c:pt idx="2">
                  <c:v>0.14851485148514851</c:v>
                </c:pt>
              </c:numCache>
            </c:numRef>
          </c:val>
          <c:extLst>
            <c:ext xmlns:c16="http://schemas.microsoft.com/office/drawing/2014/chart" uri="{C3380CC4-5D6E-409C-BE32-E72D297353CC}">
              <c16:uniqueId val="{00000000-0AA7-47D0-996C-81093BDEAC9D}"/>
            </c:ext>
          </c:extLst>
        </c:ser>
        <c:dLbls>
          <c:dLblPos val="outEnd"/>
          <c:showLegendKey val="0"/>
          <c:showVal val="1"/>
          <c:showCatName val="0"/>
          <c:showSerName val="0"/>
          <c:showPercent val="0"/>
          <c:showBubbleSize val="0"/>
        </c:dLbls>
        <c:gapWidth val="100"/>
        <c:overlap val="-24"/>
        <c:axId val="1964296496"/>
        <c:axId val="1603639568"/>
      </c:barChart>
      <c:catAx>
        <c:axId val="1964296496"/>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3639568"/>
        <c:crosses val="autoZero"/>
        <c:auto val="1"/>
        <c:lblAlgn val="ctr"/>
        <c:lblOffset val="100"/>
        <c:noMultiLvlLbl val="0"/>
      </c:catAx>
      <c:valAx>
        <c:axId val="1603639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42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[Meshoo Sallar Dashboard.xlsx]KPI!MonthTable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rial Black" panose="020B0A04020102020204" pitchFamily="34" charset="0"/>
              </a:rPr>
              <a:t>MONTHLY</a:t>
            </a:r>
            <a:r>
              <a:rPr lang="en-US" sz="1100" b="1" baseline="0">
                <a:latin typeface="Arial Black" panose="020B0A04020102020204" pitchFamily="34" charset="0"/>
              </a:rPr>
              <a:t> ORDER</a:t>
            </a:r>
            <a:endParaRPr lang="en-US" sz="1100" b="1">
              <a:latin typeface="Arial Black" panose="020B0A04020102020204" pitchFamily="34" charset="0"/>
            </a:endParaRPr>
          </a:p>
        </c:rich>
      </c:tx>
      <c:layout>
        <c:manualLayout>
          <c:xMode val="edge"/>
          <c:yMode val="edge"/>
          <c:x val="0.4140657739859005"/>
          <c:y val="1.0125609380300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F137A"/>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F137A"/>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137A"/>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c:f>
              <c:strCache>
                <c:ptCount val="1"/>
                <c:pt idx="0">
                  <c:v>Total</c:v>
                </c:pt>
              </c:strCache>
            </c:strRef>
          </c:tx>
          <c:spPr>
            <a:ln w="28575" cap="rnd">
              <a:solidFill>
                <a:srgbClr val="7F137A"/>
              </a:solidFill>
              <a:round/>
            </a:ln>
            <a:effectLst/>
          </c:spPr>
          <c:marker>
            <c:symbol val="circle"/>
            <c:size val="5"/>
            <c:spPr>
              <a:solidFill>
                <a:srgbClr val="FFC000"/>
              </a:solidFill>
              <a:ln w="9525">
                <a:solidFill>
                  <a:srgbClr val="FFC000"/>
                </a:solidFill>
              </a:ln>
              <a:effectLst/>
            </c:spPr>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3508</c:v>
                </c:pt>
                <c:pt idx="1">
                  <c:v>1780</c:v>
                </c:pt>
                <c:pt idx="2">
                  <c:v>1898</c:v>
                </c:pt>
                <c:pt idx="3">
                  <c:v>3118</c:v>
                </c:pt>
                <c:pt idx="4">
                  <c:v>3541</c:v>
                </c:pt>
                <c:pt idx="5">
                  <c:v>2681</c:v>
                </c:pt>
                <c:pt idx="6">
                  <c:v>2652</c:v>
                </c:pt>
                <c:pt idx="7">
                  <c:v>3329</c:v>
                </c:pt>
                <c:pt idx="8">
                  <c:v>2139</c:v>
                </c:pt>
                <c:pt idx="9">
                  <c:v>2723</c:v>
                </c:pt>
                <c:pt idx="10">
                  <c:v>2288</c:v>
                </c:pt>
                <c:pt idx="11">
                  <c:v>3358</c:v>
                </c:pt>
              </c:numCache>
            </c:numRef>
          </c:val>
          <c:smooth val="0"/>
          <c:extLst>
            <c:ext xmlns:c16="http://schemas.microsoft.com/office/drawing/2014/chart" uri="{C3380CC4-5D6E-409C-BE32-E72D297353CC}">
              <c16:uniqueId val="{00000000-A546-4696-8A6A-4597810D450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066532656"/>
        <c:axId val="1066536016"/>
      </c:lineChart>
      <c:catAx>
        <c:axId val="106653265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6536016"/>
        <c:crosses val="autoZero"/>
        <c:auto val="1"/>
        <c:lblAlgn val="ctr"/>
        <c:lblOffset val="100"/>
        <c:noMultiLvlLbl val="0"/>
      </c:catAx>
      <c:valAx>
        <c:axId val="106653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653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93000">
                  <a:srgbClr val="00B0F0"/>
                </a:gs>
                <a:gs pos="0">
                  <a:srgbClr val="FFFFFF"/>
                </a:gs>
              </a:gsLst>
              <a:lin ang="5400000" scaled="1"/>
            </a:gradFill>
            <a:ln>
              <a:noFill/>
            </a:ln>
            <a:effectLst>
              <a:glow rad="63500">
                <a:schemeClr val="accent5">
                  <a:satMod val="175000"/>
                  <a:alpha val="40000"/>
                </a:schemeClr>
              </a:glow>
            </a:effectLst>
          </cx:spPr>
        </cx:plotSurface>
        <cx:series layoutId="regionMap" uniqueId="{87985012-4B4F-4F27-B010-EA43E20A4FCF}">
          <cx:tx>
            <cx:txData>
              <cx:f>_xlchart.v5.2</cx:f>
              <cx:v>Count of Customer_State</cx:v>
            </cx:txData>
          </cx:tx>
          <cx:spPr>
            <a:effectLst>
              <a:glow rad="63500">
                <a:srgbClr val="FFFFFF">
                  <a:alpha val="40000"/>
                </a:srgbClr>
              </a:glow>
              <a:outerShdw blurRad="50800" dist="38100" dir="5400000" algn="t" rotWithShape="0">
                <a:prstClr val="black">
                  <a:alpha val="40000"/>
                </a:prstClr>
              </a:outerShdw>
              <a:softEdge rad="0"/>
            </a:effectLst>
          </cx:spPr>
          <cx:dataId val="0"/>
          <cx:layoutPr>
            <cx:regionLabelLayout val="none"/>
            <cx:geography cultureLanguage="en-US" cultureRegion="IN" attribution="Powered by Bing">
              <cx:geoCache provider="{E9337A44-BEBE-4D9F-B70C-5C5E7DAFC167}">
                <cx:binary>1HrZjty4lu2vFPx85eIkkjroauBSioiMjJydTg8vQtiZJqmJkkgN1Nf3dg0HVW6f03WBauBWPGQi
Q8HgsLnXWnvt/I/P6z8+Ny/n8Ye1bTr/j8/rT69MCP0/fvzRfzYv7dm/bu3n0Xn3Jbz+7Nof3Zcv
9vPLj8/jebGd/pEgzH78bM5jeFlf/ed/wLfpF3flPp+Ddd399DLGhxc/NcH/m2ffffTD+bm1XWF9
GO3ngH96dZiq83gOr3546YIN8TH2Lz+9+sOHXv3w47df9d+m/aGBlYXpGcYS8ppnhGPBCPr5hV/9
0LhO//pY4NdpJhDHOM1+fvHfpr45tzD8T6zn59Wcn5/HF+9hPz///t3APywe3r989cNnN3Xh65lp
OL6fXh27Z3t+9YP1Lv/lQe6+rvx48/NWf/zjaf/nf3zzBmz+m3d+F5BvT+p/evTf4qEsRP23I/kL
opG+5iKTKU7p96Ih4THKOGcZ+W3OX8LwPy7j+0H4ddg3IVAPf6sQFC+Nsb8dx18QAvmaM0ozxPn3
QiDEa8gFJiBG302I/3E134/Er8O+iURx9beKxOk8dudwriFZ/yp4wuy1wIgR9i/gib/GkDCQLvSX
aNDfpv4lL/7Uir4fkd8N/SYqp//7t4rKuxcfflAvnT43vx3OX5Al9LVMWSoQlb8cfPYH2pDidSYI
I4KKX5Io/W3qX+LyJ9f0/cj8YfA3sXmn/laxuT4DfZy9CeNfmTPZa5YSJGmafRfBIGeQzChhv0bu
m9j8yTV9PzZ/GPxNbK4v/laxeRsCCMK78fz84s1v1/cvyBz+OiM0BUX1S3AQ/mPmoNcp5zQl8vuI
9qdX9f34fDP8mwi9vftbRejhXJ19MOfuL41OKhllJPs++wPsfU0byX7FtW/45k+t6PuR+d3Qb6Ly
8PeSxI/n1jY/3Jyfp78uLBi/RphDxkj5h2wR8jVDAhGUit8m+4Vg/twivh+J34/9JhSPUHP8jaqT
6/Ozief/BQyjr1MqsUhT+V2Gka+JlBmn9FeN/E2W/PllfT9A347/JkjX/3+j2Pfvz+8F8x8+8f9e
zwN5pJAsvyLUH+lFZK8pp5wJ9v16/tda+1+v5vsR+XXYHxb+v1y4/+ui/p92RwHFyO5nn+R3df2/
f/rz9sC8+Wbov6tnfjmr4/NPryjjDPDpn/7L1y/5deQvqPQN+/63kS9AZz+9kuy1RBjsGMk5zzKC
QVsvIOJ/egXFJwLhBl4MI1QSicEG6NwYDMyNXjOccgLkRQkRKYVB3k1fH5GvpMUQjMwyhhni5J8e
1Z1ronbdP8/k179/6Kb2ztkueJjz1Q/9L5/6ukXBcAa3C+gPymMiCKawhP7z+QFsMPgw/j+hCxkf
p3Q+9FXI3izTGG87V/E+p5kdPyXZVp8WlA19/ruD+s60mDPQpd/MzBjIJpkK2DiX6TczT57X85rO
84Gzqdzbkab9uSVLRMrOmLVq6nFtcjsu0/umr/pttzLX17kUDZ3ysl4QP6CmxyT3I20+lENpg4q4
WxXDUYdcjnTIke9Lk9dt6aeLheBuzIcJJ0HhJVCreifjJ7oMioY4dgdCqfjQsnY9R0eypxZVrdkh
Ms/30UfRF3Xg9mRNU1sl+7Kv8hmT6X3HhN2DAzQXsm1PzDp7WPQ+LhvP/dZ9qoYkN4HOxeawK3zp
Ps/NiK/8uFT32VSLd9nGhwMtk+pqbHvc5SZl3OWJ5uXbZG5stdt04o5RkjXvyvgiXFofUEv35VyR
YyBrVSyLuZNmEvt5bTfVCVfnCe6erG3nfOnXEXZL3swyEcpm5CG2Q5enVdPlTeumVWWU3Xb9UsjV
sZxQpAu9TDBwHNJ91/MmTwLqFO/HKh9Xcu6TplM6YyeU+sKbplGajoeubPbL2M9qKDerBpodOB99
7tOtgQ+5JSelX26XcRqu0NSH41aOoyobP+2Dm9rCjWzK8YC6fNIe52GxYldLSgu/luEQUj0dCfJ4
zyxNj6AguEpmMuzwOE2XJfL2QBdD8q1at3xKO3JRl9W0L3vdXpq25ocsbcpi3KI9bMuY7GbCnFYe
6+bYdQl77vGsLyaGkkIkPLnZqrk7YjfYh7g1vi461rBC+8lWSq6lCaqqEK3yVJpWF0wKlhW15Gbe
LZT5cxS8dnm/UYi7NZv4oCcmr0W0+FM3k/Y5iFiJXNZ9ShUxy/SgXX2F1sQ1xTIie1ORbDiGOJw0
YsllS/v+0myte9dKzuCsq7FPFNqC2XZjutgt95lJuELIcZ5bzd1d28wNUahMsVbM1V1BWpLeMF9v
KF8xba4a3+LDivumPdSJkW/aNBmHImkZKgbebWSXJjggtQkur9FIzaL8EOd7koS4Z9pEfal1vzVq
QIP44IOMtSpJvd0MgjqTDyIpH+Ii0REFu3Y5H3R7tUFCHWu8lL0ySOoLljXs0Y1jKJXk0kY4zKlq
FY1soQrzvrmlrZufMj2kRslMLG9qvhJ60gkbl51MFz1cxiXgFzf0w4HTFj/V1AzTIbSYfen4UmZ7
RkkcFfUDRURtMU0eJA/LnmfDdqq9rGpFUjLSvBtQ3SjaVOZxIrablB2S09gjvO/hRfNUW/EwbWm3
wPpav2+25LZk8Znr+pNvzRWeq0OPErafIqGqnUlzMZuM3nJW2WJg05UNda1k5PVVFmytNpxYRVDv
i3ZLwkXVDzcd3/zdUKFnU2OuRje2eRkafYEq0V93QtR7omFHIrb9XrfC3pkyCYc18fI0bSvZhWV1
nzY+zvvYJvwGxUrboo3lclX6ev3StqVmyi7EnjIjiYELLEmZb12cnRpjij+JarGXDZmaUybE7Sra
tVOpx4EWGHeevwwu4sYq4SLLZZe0kJfJ+9BqYGvv847j9G1totj7bp7uM4rRoIwtZRFSO19u0/bS
0wHwwzvG9mbsyyIjUVzPlOUpqzeqsjXRu6XV9uiCae8ShMshT+lEc+SW8kE0rKaPc7KNQaFYh2Ot
h/lzSNrpxi+Tr3fGDU6t0GC5leNs8hgcwaqiq4CbVY4JoIX+JOfKF0mXygsqV9gYmGF5Yxc4jZWQ
t7Jx5pRCHFW7LvANK1xgvdQ3c8l8vujyYmpIm7s2vQyNEdc94eZy4ukXYCd707msPzTjoCvF4ab4
Y0XrNe/Loda7cdtQVNZr3BVJHMZnm8TKKV2P6ErwzpeKlFXwOzMm1apkOuvr1cwPNur6XbBjvWsE
lS/I4OkQLV2HPIOEOaTDLOeLvucV283zLG+GULdPAuKUzyseL2JTds/TzNmdX4fyU2wazN74oQWY
DVtnQuECRauyIx+rogd14FSC9bir+3G71najeTWhT71J3T5t/XZoCJ5PwmbFOnbvk3Xq29ysnqxF
7WsqimXmFB9sO/lBsV5KrMhgw+NSE2ZUiSt2I7xY1l3kI1HNvAx3UXb3Jd06ZSY7Fr5vk7smsPJm
TZYBvrTMrWR75Edb4I7hggw67rQ+tlhUu0Wy8VQNwEzpOCtaWw1bMNfZjJ4HsX6OgO/HxQuQCojE
o90ykyfrQC6SpOTK6jIpCGmuetmsu20a04OcdZeXmpTFZjQE2azsVKX6SdNM74awwAUoF4BnTYNa
AvNz3iabeWjXPu5cZffJUu5sy/E+xIlcmRU6gE0SsEKJsM+rJiEvpzlcN15SZRNMlFvXOo9+IEr7
cjz0IvYFRGjZgRakuccdKuZ1e1s2Mxxk6/pdy+Fgm6Err52c3aH0/dslNclj5rrxImTp9FVqCFXx
MRwcl/gACCRPOu31TtYj36GJ1EXaMX7BK8qUqbI7n0RI35aw2xXijpbGh5yM88oOSc3trl6FPoyy
jorSkULCW5aeQC74D1Z+DarJ0nQ/eevvuO2zXYWDlzvXlcsHaD82DyJs6ISypv7i15QfE6CcI56z
5V3VN7yYyOrm/ZIiN+ZsnbpCC1R+QWabLngaZV6FhvQF0Gx5SGaZWuUsNnc6yYA5az2jS67ZelhJ
Rc8ZHoerGZH1ts1Cvaik7zIL5034pc5aVql5rtpLTSb7RkPf4YTkjB/jUJUvjS+3WfWdbA9y1LYG
YMLlsQoovdRw1Cjf1irbaZrYS0gVbxXScdYHh2R9aBHBT5TJTLGUzUG1cc1yQxr9PNUdmvOGZ8JB
ELr2rpYyeSSCVxfW+Hiq1mo7dCjO71ka2tM0xC5RG8iHm9h1fk/8lHWXAaE626WGbo91FePLVPEW
0lTW9cMosvkhM64f8tpyU4C0nfIFpP2+Kmv/JKNDN6XpuktTYnSIZB4aID+xaAX3QL+3bGBF26Lm
lK7J+jgvLbuYOzvfJxkNoCZ5eUe9k9cNlvgUOineJ81S54Me3HvKyqN3OFU86JtRVvyKSJ1suyFJ
Zw73jLWg3A3yOSAeVpxs9oohuqlVjOPBJQQEz1LaNRcDVBZq8itqVAN1g1F1WrY3ZSbMIWu6QZG5
A8HYxvDAQ7IdRQ8r6GSH31I+z7WCAoo+luXC9W5LSIXvgCKA3yYt5ggAhnnRemnzpvG+yLYu23Pa
bfuMs+FmqlmViyY7V7bHu4TgGnCmiwcyV3w/DL15BtHS7BLeB5vrrSFaTWvsDm26jMd+mP0HSNrt
Ick8qM107Q71CJPIBJFdJWS9S1unc95SfefWkdwsHs3r2VGyDvdxtUPzJuGLFkXot6qESgQKvLzE
ulpU6Ma1zBmZEbDsFBKpuJyTQ9q76qFli35ce2y/bElNDlnk2u22henDNCJ/30eCP0wuY4/TupBG
xZFk76dNZ9uusrZ7o9vEPK8Lry4TaJSeB0aCVmKwFsLR8/UBgUB9GanbLvXiqFStXYeHOGLAim0g
ANAgvAHV0jDow7DWANmjp9M7DuE+16Vgb1OO+PgoW8bDTekGRndbtZBuh72E/GmrcTfTWOFcpjpO
RdZqMSo74WiPPYZLWEw6KSvQ7X7chTZyrJoaspfFSuLCAR+eHK4yrmo69Dd6FMYUS0LJ9ZD0AkO+
CxKVm3t9HNxEPzTbYg4dzvqnPiPTmUBJlA+sHx7GlN3bZC702vii91KeQtS00HAPVQPu8bkSZvmo
u6w6cpvap2qbk/e4d6nc8SyyD9zG9XIOS9zPmXS3ZKP8XjMptcJ6LS9Y1eyG2NdHUNTmaiVsuRj8
tF1McITnWej5KriE3zHTj/s2EQccnLi1ooqXgRNcTPNUPXQsYddZoFOt0iwgnA+9jWqVA+qVaGJ5
cuM2AuKI8lob+XHS5jmZ2/V+6lHZqXUYW0Br4onyfM6+TLIXuZlau2eE62JeiHkaZTa9WyrInCbp
wruq0booV06vu6l2l7Zh7X3t2BfNDMpJH7KHAeTsXdPOA6gr27+A074Bgy7kovM1f9zmLFxuGqEd
3sLyVGNaKZ/U5saXaXXntpHu4jj4btfiPlytJVuKMdH9kevW3M9gABS0t65XY7X0dxPUpJ+GSNi9
abuwj1s2KS/deDunS310Yng3odW6YpUkgjxo6bRbXSbzcYlkX09hOxveRIXXCeV1Q0EDhYq8n40j
1/MMLkbD6+y9FUP5sbSA+akGnQa0Oj+AoxI/WtBiN13Q227zZbieRF2/CaDyarU0iO23pE8uKWP9
denhys8e8F70bvpo7djtyi3Yc+SSpKrKoKTG3SyupYBiTc0RsssCqxRmtlJtGXCKXNI5ryLUWLSs
91tvquuOzuVTI1N/mfZl9ZQ4uFfe8BYqwbkrZB/rojUU34kMkctSzEuRzFPzuMaeXJuk7b6wZTWD
sqgjjxL05A1qgfNU7Er6LHUNFdY0tuMJaZ9VaisrfZHARcM72swJViHU07tpqIMuXML6d2Hthwzq
rhW/qdPYP4qR+HOVGPBWRD0NXbFmQ/fe+6Y8LwE1g8o04MvJu5HfbYB+T9vY1fyq6pqtUi1v2biv
almedVigvkonSz/NvONPjrRbXgvhzuuC+4KUSLxzHEyatA3uSoNSs2oB7IAFVW1Rd7LZ21mwhywB
9MZ8TC/gJP3tiP18vdVzOE/tNJ/wPFjliSx33tnmIk407jfj3ZWXABhO2/79KJDd67pNHtKmTvOq
RaXCIg8A8S7vnOueXTfw9SZLtEkvEr4tKu2yGNW0aPzUQbVhVF+v9suMmNxnI4q7WMWVq3JbtFGu
i/FdDTVkoUubXnhhE6Ng8xo0ASuhoCbGs3YPKmC8img2H0hm8aOoOrhAFm+whsS7h+ikX8EI0t0T
a4cvvraD3A0idudtLOMXBxr0aNIEYKhMtsK0gyvSOUkOfLWfag3GFna1mkQ8N2saiwDUnC8h0Hwx
Ffoqxp4AZNxlHP0bVC7koCebnHQVJETTJWrKmrRIuLuqp74ElS4fgvXstqRle4U0I4mirAUXYC3r
Yxq67rSwjh/tGuE6JGD6XW7tOLmiMfQrTbX72oWhyESjgKo8ZFqyndYpymuroynA9BgPOCvRJwPX
51OPUbOpunMtjG+GEzcovZ6hgtrzhoaHKoq7uBl8AG5eHuoy6ToVMB3zKUmXQ5NkTNVgSt1CU/32
qyf0AfGS9artF0yLOumqW1B2rVYI8OraCMnB7fKp0SozTOdTBYWnEuvGwH/bQkFX0zyhRjRcZcvI
70EaNCyvTV3eksoiFRbhLwIzPK8aagvqEVKyjJCXTZmp0OC23Ict1B2QnhtPbAQvMWcTKd8NeiZ7
P/b+QxUpuq7cVHvFTQIAzub0ntppuB5gttwNQ3lnMKLXqE86MM4yJ05TlokL6urqktjoT31A/cky
Kx84bvp9t3Bw8kgHeRr9HG7BXPNhl1IPkkaKtt4NcxIXtbG+2mkWP2fbsBWBaJpvmqDnZNP1cS63
8g0HZFJcTIQBHW1E8U3We11Nej+maLvNPLhvhgg3KFy18nqtQ3+/JSuCqzcgeJTQ7oK7ZTuvcyMu
+7Sv3vJ0ABRcnR/Ab+Sj6sG8wgqS2t9CTUCeuInMFQjNoLkEu6AeyCy4WWkRVyj3sFQjSd7KMHtV
xcUpHFsN0ezNuqvWZr0XJWnyIcrkGBreXyYOuTwm3fARWRAgiXa28G1lAYz9BZTrhxq3w+2MXNiP
tQRXcVuBSOHP9BiYbK+aVSx72gCdFp2p+phHWYYdowZy3M1gN3AZy8NUDyMG4iHzDW4y/8T5hp/k
0umimWJlFDhXm85nXtmdaLoa6uTF9o+1BzG+t6lfY7GJuer2SQNe3mk2hoAl2zsC9xbMj0mZWifv
uor5S4lMBd4ziOg6N6aaH7ZoRntygts3RmxoAT2TgNm7pTxdimqw05dKtNthmxb+sSYbf5Br5vBe
dE0y7KqK82afUge4VQ0mG1XTcDLlUybpg5cMJPKSWTKrWmb9u4nR6tOcoLjlmVwQO65+LPnlljH2
aNnWvR9ouRySqhtu14larXQ6+Ps56g3stkjkXb+AEUdn1t4C3XxIse2LUvpaYWg9fkwcNfs+rkZZ
Kuill6R9qnwVetXJddhP3JBd7HADRko4wilsO4/69YZbL6RKXebehDCvBSrj9gj2ZXopByLuaORg
MVSL7K/0tCVehYHKZ3ANeJrrjmS1QiO0DpJ1TViRiGW8AA952PJRu/W9lRwIAizUeB1aJnaTube9
mKZCdzx7rEPZXemxVKzmY12QRqzXJQEmuPBAM62ymwmfpKngX2FNXCevVtfOswLXOb2XPaWr6pfY
ZIUVMRnyQMGpLWYnu7qg1FV7oBFy17As3NNItndgnC/3CZ+6qDLcHGzH/CH4nr6ldb3e0j6wnZXJ
gvbOklj4Jq1u4b+YI9Tli+QfQ1+bD3blzSkkeL4bE1IPYEFiw06DXKHrgnEDP43E6U20oLLyIJL5
fdwCB/sfxPXepGt1QMaut2s2slEJVmddXsNB3Ltq3JJc90Q/l9iIKbcM4ze6BKNX2Ra1byoryG5N
SiigM76lQKc+zXlmoJBaW5rejA77h0E79EAW2t3GJO0qFUs7fNhWaW/4Vg1Qyw+SXyOfILBxOl91
FzYM+C03GTnZIeM6bweLjPIT+J9KVq24rGJSfrZ1u537DJJntxgQbGpGw1IW82a6gkcKZdw2zs07
uG3znHeNBSYA13O99YiWn5ckfAU4SKIUw4eEoORIcdiuEenEpTElOuih9SfAdiAgn6Fnz6bRFJkD
5lv6JHnLE9vfr3wUl6uuhiu2hPm4UTN98ROzBw7XdlCLzAahhrCuL7wq22JspgJqiKbKAw/dRcc2
cZkCbhezcM0bts7pZUI6qrY6Ts9dNdA+33hkh75B3UXFxAoaTbfDGffIm52ehHuAEgnc777zb+uZ
ynsJ6uzz1gvxZiMj/BgBh7yeh/c64AglXhmh3WGFTy5DjZbdBGf4plt8+AwM1EpViSV7TDZMy7xr
R2J3zpu7qRX+wbk6he4BYEun2MTYKUMh3LVUNKcewyBcOqv0xsUdXztwE1Bsp48b2GpfCXkm13Ly
fl8KqEqU7pbmoTZDXeUmq0j/pizddr/W0GIzIG6uELL8Hppb3bFB2Dx4kvY5qdc0n+cBSg3mxt04
YqM2s5S37Rz5JQzTt5DdyacVN2MOf7435VzvsHXrGUpmeTOJbbuLa/s84LRo60nng3EyJ1UWr3mI
7Ru70OUwOuHyymRvovVkV/MmBWYE6/IYPEorRZfV7iqC+CNdYF8ZF5A8sQ8FayCv1Zj4ZT9D+Qod
mgkcjsS25TGAbP8ojON3JUK4VYyu4wMDQQ+VQJMms5ITsNy8rv2lnVPaqphp/0HX63gF3dXPbqxJ
rfrg01ujibheuGP3K9gZHzshWapqXOoA5S60b8wEt2lB+gJQtfzaN5a5RuAp1ONEvvRdOSfKo2Hq
cux8YnOw3Udc1OkS2zwFiXCaEtG9oxooy7QZSBYDDmeNyWIVg26LUxPun6CfGo4tnO/ODMFdrGaU
BfznD93JiKQ7IJoyYFO9QtMqhPYjp6W/ht7htGt4lF9m3/nTktQNeMFYfkDCoFHFqZFJXqM5u5zK
FISsqKBvRbcJKhiCzXLyxIOV0w60kNDNAbu3T899yjqWmyYkxzLxcCPBI7EqBR/jOqwpgFwmhn5V
wZs3aQc9H5rh5dGKlT27Ja6fLMjWx2GdplHxev2K/2U3XfGskk5tdF0/DjX0LxWggn4CixSkydZC
jafmCsB4nqSAPkwdKBBNHcz1kiD0qaGpbHdLXwZwUiIQV+wyfiydQCfYVLLBVR/X3PR0PsY0aGCu
Trvj6NOeFb0mXa+qsonvBlkT6NuYbE9ID5zfDSbsSo5cmbuSJGURhN2uJ1sCeoeF1Jci4/5Sr76l
Kq2j+JyhyoKXh6Djp+rVAVsR25eJwllMb/rWmlGB0VYHuObAYqrteDUrzic6XGXrCtPUNdMXpXcu
y1v+X+ydSZecOtelfxHvAtQyqQERBBHZOdNO22lPWNcdnQAhGgG/vja+XZrXadfHqkENaq07uJm2
CULoHElnP/tAvbdqNNBR/Lq8nkYxNWGfOM4FRfZKHJnp1l9YBF2YDLn/FpotUaGFICoOVc3Yl3bM
6zsNBfUBixf2LgrLZZgwLO2X3q288ij8ZXpCvdmPTFk4j+l6uqpkv5yGNJj6A4U+GNncLY9Trtxb
GYz+l5I26yKmgpOTlCY7UG8YkxMDRXAIUBy+XirXu5rqdrqbXSjexFuL5FXWhJBp/EhK7iGyRj9y
CvtAHVRGs87idN09DdiEX81JrS7SqZ2oL73uaOd2/OppVtwO2E7c+Wt2TpdZHoVw6xtn1P4hGfF/
S8H6LPSGzn1ynTa/69KsvC2N9aOmdzN5aKexyw+E9U/ZoJcHM471TVO2EjK650TUT6qLAiv0WelR
RKmW5qYamuxVsrSFOejc5sdB2eVzl5LsnHqBuJilsWfs11EmboaUnb5zHH/ROH+BHH/yJJ8bPZs8
zf6yPf3z4/96bCr8992W8+8vV9fUvz/d/m23+uXfir82K1jTbf/Sejf/XAs389fdrTzODz/8Fxz0
Av7zp3vrhT/8P2ODPBA9vqAg4V7Ggw5AWb/k6R/mH9x4RW7+/Zd/4kGC/0dCiAqoAIfqUr4ikX/h
QRxmCQlwiK/sNxEAaP6lg+CScIOAUVAQwFfpP3QQwCGOOkYgOVB+jwOz/J/QQR4+/AdIxxUwBLhi
Rc+5C9cG8LPneNCQcYHtWzHHHEDIW9QYxFOLdesWAvJKQiBVfegd91NSeuYriJv6I/TY+cBxfhki
2tkmEiNWYcGc4Ml4Y3M1Vjo9ejJXX5hKh/f/fzK+7Av8FzcDBEbcX83Ec179AT+j2qKj3+fjn//4
r8kY/AecGiPCD3y6zsZ/WTUG5yDFec91CfWwWOBP/p6N5D8+Yx4BdyOk7/scpsK/WDXMRiIAigQE
DID4/kd/h90PuQWI3l8/P2fVcPr/r+noe5j4bMXWkI/pZjr6Qi3ayl4COErgsxTd3IZd4DShhrb+
mfbERIWbBe9sy2SMDVmF03PSH4UtkovPW/+La5b6XI6df2z8/tVQBVVMq774qEwpTs3CtR9Ofdl+
blFOCYOu7Q7Kzumdk3TTawnU5gRLI07KXt6bLwF4rHjKOvFaOyy3UeZq+jlRTUVDSK3ZaXSq0xwM
t3lB1TV1A5T5Le8v7ZJeOM/pCqvh7K+DV+6Qt2cdpMMTT9vgS4kzHgmzDFUF4yTDidQekQdVqOlL
mtPk48CS4WrpCv/I+NTHS9dkZ0aDGXKfW8cQ/HE69dVtMOfyFVGJjWa/aM5N5nrHdh54aFvqnvOh
W+4tL7MoKKbMCyvC5zhRdbGgPpzrt+PSNF/zNue3veuQq1YOj0vnBu/9pZP3RLQUmy425hjVJiE4
KTSdDlVvjIgS6JxLOFfFGMt5ng6AMcqnbpjdK4AX/VVd+p9NUo23SZnnN3nGu1MuZPdGaZ1dyNyJ
g5MsLgMhIfJPmZic936SyusW1cebVHbJJz3hKBNOHXO+YUvf31azHJ+awq9u8cDxPVk/hgkYt5S5
9M6ypKuPsP+hBNQoFSWu/DZRUFGcgzwAizBWV22pVWgU+WwrMCjYe8jhlBMQMpjwFAPl1G9o5Rcg
f5LgmMnBfRpTnEZbrtpzwMbmqIfSuyVZ1p21n7dHSwJ8dWzCwyLtGRRoNuowtaS4Zk7yTprFHlnu
VY/UVX04dhoViSUjH1DML8+DL5vDSEX1KlcKcreRKBfzEZKd8W11FEkX2VL4R99yE1Us++pjSBIc
hzW784AiXYZWAmZK3BsUBKsb2yzBF+wc07fT6KUDqunVu3ny1ZXMEv5oa8BP4YRq/g3URmwQtOs/
rMBUfXACFENwhDA4iJhB41DbvQqocQ7ekOrToAv/bgEOdSosyuTZpIYMii9mbQ7R/60Sgd8eJ47d
mVNhzILCc4+OqXHOY1lz7UipXw+VFtdLriVQSWzuyVR8aSnKn14HIGIW4l2psWUsKzbiuJReMzMD
dGRlFk9JXr/15BzcZfh2/QFHoyVCBRvnvDYr0ru+cdN7snj02GeEZIiyJUjDGnBd3BE7hixxoYas
gqSoWP1ZLmUXHALmtGfgJPRkJkdGkynvl6H53HnTlQRMeHBce/Td3jmZxt5WI9Fn2Zr0EOCEl7XO
EaVp/6LrgpcHP+PO8Vmu/knaI2tWe87ousicWHxd4jGUwYAV/LgIJwKn7aZDOshNCnxrZM3ihlrX
dYbpWOubSWGjays/Il39pCZFsqhpjbmjiweVN8WR5bpfRvstqbIBp64amNdIQLrkvlPeNCmpn5pW
mRMQnZxEnGS0ivreQBPp56UEbbDGc/k9trEFJvRSIy74pVvzgmXzMB8sUK46GqhTfvz1VxfrTuaH
7w4iOQDcTgkToIVx8v3xu89OT0FcpG7ssfRNoHDWqkryxpHTR5e6RYgywHBgIm1vhBlECuGE2JMc
J43ZYDSYGCdlxovYkjWQxpdkigsfVVFTqPEryqrpY1ZN80W09kwndWnJ0k4HfzAfZdefmsy0MQpV
V77yJY47+ee2nZoD5lZ1Pw3SXLBDa49qVsNV4HXZld9WFT105djiKF2SSz0awg9u6fYRxhH7f1sW
x5GPwLeCqbofUEL52Miy/jiPLnAYrupPPmTNO+jk7Z1KTXbKrFfFDRSGp8YxyQVkQXI/V/n4Gj+K
k1mG/KnwSHY1jXY5BkEvo6XiLLY4OcQNtwSEhp0vEIt7J7S0T04pzu9vZuXgKGeXtDvgtu2BFGV2
KmngxcYyfiqxyEaKQFLFGjTkEWpB5l0PivyYEujqBSmCY6tq+g3e9vS40o3Xgy1Q28Th51pjW8dR
B/PZO6dn/iuUVJw3pINiDIIxxdoi3eZrWzTTO+40/B0TTQ2asTX3smTjlbtU3pl4NLtJWtec/ZFe
KhQO+jHDOQrcx6GFJNaDkPCmB99a+zDZCoweVEUAh8pDWYhCLlXzMB0LHOLeDL4KDq6/NHHWeP4n
qkny2CQUJ9ZEvc36whLgcMwuOP8v1cfK1fZ2IX5/A9AwQ6Wzm67rVPKbSpbkJLnKbwSbO5yLhSQn
4xVzEqaVzA6uGfUNMJXkVedY/cCFFS0I23Q+s4qrI6OkRiHKDlEAIfp+sFlzyydISxl4ybBKib6a
4Ip+yNYsotoE2xVxcUBemwaVUD97oyCFtxa8rpPOt1PHnbiQwh5Q56sOM1IVaEwZpRzZK1nzGEm9
7AFwqfNNrhluXHOdMsGhsaDv6Ihad42KUrx8T4zD9ySJTEGPw5o5zZpDpcmQZ1TuL0gEmQsybM23
KMfWb6c1BxufTle1bZBztd/OT6gZyRPQfWR0gNOvR4CI14vrDR8ZZKhjo4SA7mb8U/V9YSjWNUKs
q4WnPByGy3UNaaFSO2ec8uv8gAI9liA30Ksmh1q/RRWoFY+z27BXnVY0OU7rupabDESebLySxZ0r
zRVO2frUrevkYIrlWHxfQWudyk9W49h9YJjTBOtUrq9BP4/IoX3Vnht4CeIkk8B1zfclfXFBZaaz
02XHGgDrCfIQkJWlwyMS33cN87qBcLCTWNYthfy+uSi5LQ71INgxW/cdLraPSZC1oIEyFHoSJWWU
OMN0XSko3RBopkvC6grgT1XFGluf4yir4lIMg9+Hg8zoEQotPdTTd0RfleUt87viQvqmvy3Syn+P
QiG9Q7VPvq5nL6lQsc2Aj2Um+Nou2r+flGVwGgzjfd7N+VtnKPo3Ccmn7pi6g7j0aeYcHaCx07Fy
af6Ke4GVYZ5n5I47ZDgbpy1vsaebIcADH0Gt3/fZfTXr7ArOh+quH6A/hdoK82ky45PLtT4G0pnh
tSAuO1UJGEQ5jdmjSPHFgRv7F+OgAA30kI+PaSC7OdQdIxEpqXPPloZcBJ/om6pA/XNCR41DLrB0
eVXePAKzQDm/cY26AMYr+iNqU1B8s1EWWHj1cFDBVHS3KG2nER9tcMbG0v00BcvwmTQ16lr9ArEH
G9KUnKxdUJzmPBVtmHoYxlnkEAALjPhBTTy/ElzD8GKkcxW0oz1XxTRdFbAFoHKYm+CoW54+5Knj
fvAmeb+k/fRIFHDtqXFWQSbJAet73YRBk/whm/3yY0E4uFLXZSQkpuo/pSCaPuoBxK8rqIqCpkxi
/JVPbm6SCHfEAEHV/NrXASa/I3qFpdzNH5wWunpNVNOFDQCgLrQz4N4cXyMpC/g5eHGQjeZhUyxf
Xd9xUNJs8gZ8XU6co3aL5iQhlkAA9t2npivp1Th3wy0jucU4iAGls7LAPxbA7fysxBeooYRKbNgj
gzPASkhdBS79Vtng0zw1JMYCpnBASpr6IgyTiHaLTTmUiPQ1JPw5RubBxjop3XfFlB9hiajeeVT7
T7T1hjPQFf3eMla8TzrXfC0R78fAKbrz2C8f68B9R7jiCpg60FGU6259bl8VgSDY9E9QJqeJwx2C
tQJhBa4jAmQXEAiWDXcB7lN9kbzHupuU7CogipyXHiK3Z9j8IXcwT92F+teTdYajznjy2Tc5jVMu
C3uAio1t/VKj9GinYTlMGf0yDFkSB7R1Ttyb/ZvcVPk1kLt0vh5qp3nNYUR5BEMAUgMSQv91LMHv
HAgMBjfQ3pFtxpQUb+Cv4V242A5fqiqrkyiohoZAGLbGOhgRiah0HkVgOK465n+ofKRhIrSBtl9X
iJ8O331UycUOsriuPQt7E74ouPLCURHFceRVybvsXBuxRDZQXayTZcLBiZCwdcr5MsGXFkNmBq8B
lOGpwk4wB7Y0B7dVUM8npklzIt4gPmZt7gGHhNclkU45hBUMZxZ1apfjGJoVPTxTwNtV9yFIhttF
uN/W+kU0eon3Rz864lXQJlge9WNXCpqCc+m7135q5iq2eb58KQhgf5LJd1VfY1M9YG1f/NoDP25s
LN22C+eMTLE78OKYT8p916dTy8JkRipuzWiQkkaIGNTXD1oklX/AUoL5rWrZP6I8sTxyPWgNjUDC
TiTYjVtm8CQ1+M73qgYIVuDIHkKE5LeEpv7DYPOeH2lvZB0HInDeMCzV98Sr7Tdafkq65VhbDarH
T5eMv3IgsJ1NXmJb5NS3lSxC6rb8aIBBibBWRcwBbCCLQCtnU+ccK/Zl5pUqTqC0e5DJMyxXNhDe
UY/JTW+L5Q4bwusewABzhydZfmyW13OWHnwKdryt/eIbIPS7sqzqk0S1+0GwpP2A+YXFi8/9K7uI
9FpltX5yxxF8b65QhTg4WGfjABH9AT4E+5ZXAfmQuCV7zwsOhdnt6AX6aXGFlSC74SpxDpCnvXBI
VBXVkKUORZFeegM6IhC5AP06QPAuNH89Q1X/yDK9hI5MK1SVKRwkBacHUZdMnaU0bMF6KqanASnv
oOvGI4fG9VGFpgw163xuI+oVy2FxgumNPyQ6Zk6zxLMS9DSJpjjThuEgm2EnC/fCHI25N52xhwRJ
QhuYn0JD3OSeqVpfaDtMp1QNNCoh/Lw1OXZ+o9+zgwmG9gx3QHBOFWwa4MZnL8wTdzjhHvwjrEhL
NOq+eGrHmaVhP6Xpoc6r12mNJBp2QKpO47rggsduY88r3ypn1lcl7Ya4TDQ2ZGUGwUEUOPPDO/oY
mLqDhUA3VwVyxhh2s9IRyxsB2UE5lh+qrkQEAglHwl6MHQ98dZHhVppDH4BVC8e+6g9QEsi7uc67
gwOd97NOa3LOSmSIhFTw2PV8Rqjk1bn2oQUCtYKhT5ZFEhYNspm1rYW6xI7zUCbXvpckt7VXh3WQ
fWIozBQlfCwN/kWWXJsqAYVRTiSCYgD7joQwJqwbKbbMV6jw1UdsH17jXH7wA2UxttVUQtVMqtus
hMRX2VEcUSdYonxiGY5JucDZXJbqOoPHE0OQeBcLHf/LMowFNgxd/S1L7BRyK/OLJLNzaJ3E04Ae
gZ3VdVF+8VVTfqhzamAmK/3kNXXG4LbGRvseZ5UeXko2XNyZo7LEeEfeFQ4dDz3Aig8VLF8AVFVz
DSoRVjyhi7O2rjy7JFcxHeEJqEndnbvcHjRMaO5UgDxDB5XltIjCixFh5G2P49p974DNAa5p4OBA
7SMLwEG4KQn7orxufHY1dedZYjyHOgD7PRyAyMjXfj0GcWFF8Y67il7aUqkbkXdyQBmSXRJb3KeE
2wG9bf4RD35SBvB/dhRmlEof+k7gu8Faq39m1bXgA5OEEhk789xFjBb8s0lHDr8lq2FFCAzOv0RN
6WPK67oMTRnY5phl2nkAwz9/4mLRJlKUZdGcF4sXpmu9EjUdYkH7uYN38LKFOmH9vcLp8oE1MDyi
QDjDUnKVswYMHWyrzPnTCvx/W0L6f08c+oxa7z997f7uV/G9pO79Uhf6wZT/z9//swAfCPi+PUEY
I5Tj0PdvAZ7L/3gB6j/ShRgDVWitEv1dgBf/cVFlZ8DUeUCgFf0rB0FCgm4DiUhArfJW+/n/RA76
cQbCD4FGA+gSEaxW7mczr0umpCnzgJ8z7xjgDDaixcmvpvZL111//+y6gZ+PvANfF/UsU+A0FnCz
mY/T4L7L46k8vzz27eVsp1rAXIdy2GvLFxfBMS3Nt19f/0dV4t9h2TjYg2opJbIuj+Cx75YH7VVI
HxkpmBeiOFXhsE1aFF1+/WEvjdWmENbh2RcW1Fk0dQRGMumS1IQNqPPfldwwKP8WG//9MhCUng+W
CGAzAOTCI+Ab9NbzLK3eWLdw+c0s+3qKHQGHaVjNrX696wttq5paupCw1w8cVSCmqyYbYGXCUoud
6a8/YC2P/uQbrcLq828k88W6/UAYKuadsFdAvRL/oMvOz25QxCj8W28oB5iburaeRYhM7rUnt85G
c/7153vr0P3sBtbeC8+mtxZY/1k3swjkztge0AEiFsT7pmFlsWXYpnZEl4NZODcNsPIyGvwG7B8q
liDR0ElwR4DJdeY+uwOVztWomMUQwJxwIKb5JuAa/833e2FGyk1WaBCpVs49i7AciSe3mZswgY/l
1b5b3+QGhXoMFn3DopLk+VcXzVxvaidHtXff5Te5oXEs023GWKR6Mb7zoIkBZV/EvswjN5nBKFto
VMZwmMeeEvLE5IzmyHXTiJ23v8kG/pRCAlEFskFDh+Iwc1RPwrZFKB33jc8mHQBidWpoek5cN7Pg
9yBvsh7Htt75Te58YfKIjabRSXdwLQisGH0xqmhOqWPgMSo785sBWifhT2JPbIIfdRWqBjiF4DyU
S4XmFJ4eI2i5Hkz5eUaDnR+zCXFCm0SC8hRx36Nyd655U7vRAkZ5inQO4GlfqIlNHLfN2CZkqmSs
0WnhsTRz9goiTPD462f90lhtAtmWk/Qsth2x74BbVJ0R5AamgKZ9XzIJJ/uvP+WlJ77+/lkuymSq
Sym0jI2i88WpFvdVkHrY+++7PPnx8k2Szy4Gh8eDaP0pdIsJpr0F5ul9l99E9ADwVkh00YlHhSeA
7gxVBHZT6J13v4lnWKLqWcHyGMNeXuIZzHJaKcw5X3Z+wCaey8BhbTBh9AOUs2tYL9HQIjIo+Nn7
XQO0blyfP17YMEnnORO6rXRZ/g4Vse5+ytN2/s39rzP9J/HMN/FcBaNloNhEXKmuRUuIqmqHd6Rd
Aveqd7JAPMDGR/hl33fZRLWYDRoKo0ldrAnt83O/kCmAA6Oy7r54XomZ54M1oRrCe9+IuOxSjZJM
5Y9gqgdqfrc2r8Pys+HahPScFqlbWcynNpk1GNIUmM492haM8MX3Cfw/U+rPEIsrST7ivGfr34zc
S3sevolyHD8T0SwWeVdJhd41TpcI7OzLANs6iaoXhfrUw1yL5jhcwxY2LTBEc/R9ad6Mbs+HnQO8
yQZzwh0Ysp0krgQKvShzi3htHPWbyeitYfmz4fV/fH5s7GHn9tsgJu5i4Mb2khHuqmRZFDgeIuZX
aVc137RDbXWmi6zZ3YTeDvWtL6QsUOtDteU3t/JCVuWbxCHrAiZxixI2CqIdOfAl+Kqnybb7kjbf
pA0FBdubUT0BiaRtnPbe2oSIyPTLrkBjm6QxeAaF9yJFAV5P8gPDUnoHrKDal7PZJme0JK0LOKGC
mCmcZA6DJ9EfC/1G5u43s+yFKFu7Vj4P4y5vZ+ZPRsb9bBP/gsqjgfKkPUQcBFS3Cet8WMFqcGXp
Z10tcLvsG7dN/iC2VphEhsdcJhXKTq3fwRAAAGPncsE2+WOhS9kO8KxEQ8u8iKPzxXHhze/Ilhcm
LdskCZ4ELqSiaYm7IQXAVgs0zjG6+E0Oeunqm9gHRZI5E5YGoB45yoS9VxwTNKDaOak2oY9TTyNh
F1liH+fGEI153tcp/d2u9aVb30QzWl/V4FDSJYbXES70uXaxF2gzr9g5bzbhnBVDr4mZlxhV3eCC
7gjlMSGSxrtmJd1EM9Ej032Jq/cJ7KKWiC5E45d8372vrRmfB5us/UWCLMC99/6qM6N8zqEy7cuj
dBPKhesY10LyiVsvV6cuqGHWZHQ5/Xpk1rD5yXpBN/FaJyxbFs+xsXXYVxw7y/FE+1LXMdgevvMb
bEKWjGJEUR32S4LAfQ1vN0RPNIDbdxz/zmk92733NbZC6Glo44ZClZXoOQTEpt6Zblau/vmz9fpK
JXIphjjtFL3OVYUWW5PaeeubiMVCnZToTdHHbVMk3sGApDiIDJXt468f7gtBu4WSWZJ2pYMOc5Gu
8+kKXRT6myFJ1M6g2oQs6qPO6AHfOJkhtd0bAplDvWIGEtW+ebN2Gn0+9qWXj6sTfcKWEJo3GhN+
mIO5/s3Ef2FsyCZoWeGUaJKSjFGrABmTbvDDNgDOtGvkySZoiS5giCnkiJF3Phgf+7s6mJJ9j/U7
i/5sxpd6MY6DVip/3jr10a4LjY723vo2WplMAJ14YxRYFI399erd/oFZH8fze3dHje6auDo6HWSH
QULJ59wvdg77JlozyiSUXRdXp/7XNqfqlObpzsrWtiFtCbBE5ikuDoCnioESG5y8+LRvb/AdtX02
MFNPRKLmcoxYn9hwguE09GDF27dEkU2sVpn264a4Q1SP6JMEszFad0Fo2zXZ/U2cdoASdYOOoVFV
ZjTklH1w4GPYefFNnKJdqCFz5vSRQBdWtHfM/0D3om7nxTdh2nYAtLATHqICju8QLRDQBcQAj983
Lpu1VZDCSXO0s4lEMHi3HeSR+0Skap9E5W/idBqojw6/wQBc0gC+WiBPoy8KOnR1++bMd9X32Yz0
2wkkgE7HeKYVpH2HaBZr6/ef943OJla9PPFNM1VYWZNOXQVF5x07NJWL9l3d/zHPDCbRJJ0ZGq8G
5KNXQEGn5GHfpTdb4ambi2oG/h3nmXOH9Phhhvtn55TZxGmA1sjCq0UPER9k8ZCxR2B4zb4Hurb7
fp5767JzTCCHIXZydJGDieNG+LBZ7BqV736957PFJVZ3k3SiGm4g0C3vfVZd77v0JkplblMH6/Uc
47JdHy4+GlCFc0fSfakXxsQfxmVM2QCqBR0q8UIO94n2yANhly/evp2GtwnUoVW+q5JmiCu0STs2
k/iUwc+8c9g362ki81aMuRliNpv5UFUat17+Tnl9YY+0wgPPJ0xQc5prp0LrTtMHtxKtYm+Vk+j3
+x7rJkT93u8NXkeI6ZglWUgq+yTA4+y79iZGF5D0RZKVQ2zYCFpXTh9UK+/3XXsTo9TCqp/DhYBu
Mt0jHeZbRrvbXZd2NxGKfpHohUDSHrYhxzk4RXKTL2jhuO/im5XU87QW6EvpRLBHvKpm8UGaWe1L
Le4mRJ0M+3QDx0sM7u+hSZsTOM6dt72JTopGNGRCAT9qlvEMO/o1ZftWUHcTmBpdDHijcbbjVXoj
mymuTbJPZnU3YZmrfsoGNPSPdPV2GUFniXf7HuImJFWAPuuw7MBwn5WfzBQ8yIXvy1PuJh6HdizR
toz38dwV3uMy935cDKQ77rvxTUSSOpnqIg/6uHOAEqAZwzlIgqd9195EZKnyjuHtfg4QR+xu0YXn
DxqQfQsbXsr0YxLExG5b5WJJznI+ofk4dWBoEuOuwKFbdE52o+gpG52o5W9Mc5SoYu8ZExpsIjJL
s5a22dzHgwTMYQlYRa/lj/suvolJC71rRgvHLvIyfbYK2n5L4H/Yd/FNWOLVCW7pKFxcKnZPBv05
p7PZOSqbuIShb3ZbGXSRqcg9w7VBx+699iY0PbwbAo2zPJSN8bKKm0GmxVVLJ75zVDbRib6Mo8J+
FhOFLTxc3OKt4tmuDRb8dD9O8SkYqC0DRP5E0Jv04NKEN0cfO6B8V2qhwSZANbo5J9Bq+jil+g/H
jugYVr3dNVu2sNZIiGs4wbgM6CFybAe8AwVvtBG79hEoCP04MiYbQfOjjUucTtM9bGgwNKJv9b47
30QouoC5VGSki2Hiu4WxAq2qhfD3jfiWrxpS9EkOhrGPXa3QI0YdCpPt2qTQLV1lmFOjQXHVxXBe
re5ezxw8WnzbNyibAJ2hKHSy6jvQDPxD2k1XuWBv9l16E58TXupRSh8uBLwyAq0I0bj3VFfFPgwD
LPSPM6Vhtg5GsEIxJCTYM5bmThB4yfbd+iZAB+13ZeZZdCsHa6PCbjDOtTO68+t9l9+EJ7pWIyvS
AU90nL902MFNnfy069JbmqrHwpNp3nRxydPXk9YXt6r2zcMtSDUmsuSFoiZexjaL4DTxj3gF0Od9
970Jzhwuks5MZRcHGWw7dL6r0Dn215de17H/llzoFpmy8Jsq9FgzcVaNbIApiRe3LUevL1v4sKz/
+kPWePnZh2wWUVbWU102zMQqJx9VRt87unzcd+lNiE4gHhUXiUH8j3DGdcYLvZHuk+qo2EQp2ggw
vHHLx41T7301OvA3OvrdvjvfxGg2tRpvN8m6mPk5tdFChhkdUaTKyuO+D9jEKc3SVA5SYUpOzgN8
G4/ojPwbCvqlB7qJUZWzFgdmXDqZg4fezdHwmO+Sob631nl+zFfoElvBd2Twsq/Kjx3p9w9eavNd
pC/aSP2YGH0xumjHgpmYuMuMlwDgnWJ0J51G+SZMqwnvG4JhDO/5GrUbuqM4tTbdVx2G6+HHO+8N
HQb0CcW4zO71OPvXik37YohvwjOwMInBkmpikaR1KJb5OjD5Pt0Mfq8f7zvALHEnv0Tj6ma8J157
Y9x+531votPkUCe4ddq44/J97pkHVba7DnEULw/8odiUTLQqU12YmGNkwgAQetjOldyXD7c0Uk/w
uruiCVroNvC+G798GJxg3xZ0iyK5Ls5ZNXPbOM1JVYRo/jJGg+vwfQOzRZGKIgCVhq4RMQnQ6FIO
nL9Wubvse6JbFGmElTkBa9fGS2B8tN2g6FqBdhi78uEWQ0KDItmwqcF0wWtA4Jes8U62bn1x2lj+
ZjFd5/RP1jm2iVGwwOj1gVaJcZpmVhxqFM9ieNHafToC3eJGczmgn0oFT6h0urI9jFZX3wa8923n
oXELHMFX71KLDuOxyWa8eC3lRYgR+qsZIroP/rw/2UujswlXISa8Lmx0dTygdfbB5YDY0ZxvZ35k
m4hFD3MPVfhaxx0VKV5dufjlH+U81enO2bNZTaccLwGzE8amyfBisryv3k7K27fmse1y6jcWbzsZ
MO611Oe5c7uTxZvWzrvm/ZY3GgleLKOV1XGRsOU9Wp/izYJC6nLfwGyBI4I8yfwZjxWu8bY7iUHi
3VksaXi78wM2yyrEuBINKkaMPDrkXIyRb7NW7avN0y1yJMrKB2NsdCxo/yZPuwdb9m/2jftmWU2T
2RKl0jYWdfCxbqwXZpT+jq19IZi2oFGLkrl00B0sJqaQH9Egczqj+fS4c8psQhW97KZ5IayJEalB
yIG+wJjviGjfwGxC1cwONHqFqzO89yVkHrzj9e8oJrHGzE9y8BYzav83Z2eyZanKde0rcgwFRenq
LmJHXWRGFh1HlqCAYgXq1f9zn9abfqf4h91TuA1kwWIx13wquH7bjIAhwpSA5bxpaiw2aQWWnDBc
qBtjF/82mQE+KQMN2HmUsks+oMUt7Z5jDr7SG08Nu1G4l2xvagWPQmCFYDvyCJOFLLzCIOqu/+g7
Aiu4cOka9a2VEr70DIklATARtfZjamEJcNCwQofLJ26pZxjOBVl9JinMMuBiXPuliEJUEz4HUPYu
JyA2hvRAYeMHezldwREODodyQLcdWaeTIWReD4MzMA6d4Q1WPo8xC+rvQ5R03TlbCYz0+hl/78HC
pwnWji7JigYYY1WwJRUTHG5bwe8ZHPPxyt1K3kjGfe7gWHOx1dCv5xCIoOXkAUWND66PRXJ0qY9R
wtbSxYXQ1rTIZzlfwAuuaJqbtuqjO9+UNb9o+LzH5xWj7QGjVHBtXwPz2DcujA8xTBdWODH35fqm
oxq2qPtm0GbBNHM8MTXR9szglIeqTwDzCcr3rTdbpRcAbgsSSW3PIAv9KmP1VqbVvvfe6rwcbmJm
TfDeyVSeB65vyyTaVxzcirwSuKgtESpIZ8L5nJcBgA1cR+3OMdlkNj2a/ZnCpd1ZkLrOZ9X9ZnW/
L+mjm3WyRnura9KwPU/LZB/RDVbdtHQ0+5Yyel1A/0cKIFkVTg1hw1n0Kr6Pkb9C+T+NX3ZNRLpZ
KHsjnHMWsEmViQngsA7AYQOflZ3Dvlkpu6Ya0SbC2zNHUTlPSH0vV7Gv0yzeirxgpRTBONm256W1
gCm0oa/PM1yUdp5ytjKvqAGkKaCYkQCZJfMRThfTmqdBAqDGrsHfSr3gSubLQI7tGRdVv72Nb5MA
sJx9z87+nDZ28r3rFuApZQjeEZzv0lkD9l6T3/uev0lqXNKt1E0EQNwO5n9gBncUd+xwANunxYD7
2J9/gLeNjsJZIEEII2Af4e17rKpqZ4Kw1XvZ1Jf1KrCF446mL6Aog5cNmCrnfYOziVkfolU6qZoW
XbVa34KtlIxgq/Rw79r3/E3UgokiIGRqsQzDiu5WNjT8ijPtsq8UTDZBm86mW82AfBWlLPjXxeV0
TsMx3TnpN+cQQvXEwchENl8ZUQy+A3xzNGbfgkM2G2vUAww445wM85SG/pJQm/9azQT3nV0DvxV9
JYQ2tawVTI1Y6oILwDgRHMi8T/7j7vAf+upAkvhz1qO3tSyZhlHVqoE6+2BVBUxcmTYA5XoYF31A
w9ljEHBdH5DFKV4IjsPoSQZJ0u77+tEmsNEUzMKpRv4J1AFABYGpYUBhYEClT/vGcBPYDLBYnFmu
K1M5RuWdqQT6zpYOoMSdH2mzH6/h1KO9ljRnSqNK5bOvfQyHpNjtTLCiTXgzuIj2cGlqzstEIFte
p09Q7//YNzqb0NZgo458WpuzhetUMQv6ex2TvS++iWzRwbUQlm3mjNz2pEELIWTYVwL4q4Xyf9IU
EwShgGU7Wl1iNxQqiHHV4NfXfYOyiepR6l5E3jXnEl5ygHPBIMsk1c6tcqsT82nVNqAbNfBdnoPv
BnaxP/oA282udw83ET3UcdPGDQx+kWs9pm69053Yd4ux1YmJGfeMDO6xMIMn8jbSfZaLqvX7NrFw
E6cefPDMKWrOVGWtyOss627B/GrkvjDdCsZiDoNJ1oTmnAICVnQ8u1ExmFT7Rn0TovCEBleUVzD8
i6W/H3o4Nqdj7V7+/enXleRvzujhJkg5fLacj7C/6zUGrhh+e4IfAadq2yM8/dvm97//zPVl/+5n
NuGaLawE/0OAozRR0PEAZ66voRXydt9evHXdNkEFMi6vMDcT8jaN4auIyp3TfhOycLIYsxBsPbT8
JskBfpoA0k5wWNszMgBo/7lNNpiMgYIq8BilffnqlsC+NTLZ180EV60/n66rJppCMujrGpy9WIDr
zmOVZLsGnW61ZBbVhbA0jcZlOKoSbZe9BDGcb/cNzCZop2Vs4NQOdzzFYOFUoPkQaD3NgdXc9/zN
3gpDmrK0Y6/B0ku/o3b0YFL5ad+jNyEbO7hIJugQRNNqW8KgdZjcL0+7fdYblG9itsLxrZGAOZ25
zUoUHIfsAhP1add0p/Bf++OU3pJ6mgHX0+cSlsvHJALQE5Yq+3YowMn+fDpQiumSDKi/wRI2Wg5N
BT1CUcNc0e0qvsD14s8fyJwvwTWQ+hxJthwysL6fW/Tzve76sltVGcCcqHD5vwAKYoaLZhiFIGdZ
2D7++/P/qrT834WSboVlLKZkBrMMUwd2hmCORlEz3VRw6O9POIhN5AQvPTYcukTP7X2w4FRwb9O6
M19IROPTxAj8kONgSXK+lhPcFZZAqScAy2YC1mS3VKDlynL93pZLNZ0aiz0XIPt6/kENwIfO1uPt
Ukl3ouXk8Qh4YMg8NAClfpAR+lte1NWn4kNTZXY44MAWr/i3vS9kCOXnY20luM74r4fqATSS1v34
90H5+82DZps8HrpGMOnRkHwUZVQ/Oq74PalgaLxvIdhK4tpAwSkydOpM5vAXI90Lj8TzvjffrDE4
ay4mYF6d6QqdrSbxhbTDfxlpXBfCv5sqm1VmmgIj1mFWZ/AAKQVwb9X+wOE83B88Tghg9nCm5a7q
Gvz6/gyrqOMJA+NZncGVZ8dYeX1arRYf943TZs0BOGjCGZGqs2tjCXPp9dMI6sV/fN/rYP/dOG2W
HLijVhNIkerM9FS9QVUdP2UAOX6b6yi4+ff3/6ef2Cw6YclTQWynjsNMFTvIsYMJee56FNsvINyV
5D8O1f/wybeqOcgTxOSYFkdxpVicpmSOoA6Do3ZlVqAhoejeV1WiWxGdAMfIlL3GoDUEDMuYfcJC
tHMDSzcBHcBwBIWARp0jXMeN4J+MNPqPBfofvsRWRJdSaDlX9OAelOjS8QJn8eTUglW7HJlwOtyl
LvgLdPe/lewEz2ZVlQaw6YCRIHrdxWfgcPe1ttJ0E9jDwruqWvr6nKbJeILmOstLGe07rABL/Wck
uwqlSDpF8lzFWXyybjGHjFe7znGgsv35cGAVIg3yfAkYRHUbws45btnOMd+EMYDzemhHPHpd42PJ
u5OpyK7zIf3rAvN/TvwLXNeqgavyoCpylybBXcf2VfHo1mQMssKrEW5VHmztu9t6GMZzkNC3f192
/mFj3EroyiSVbqEBJnskhqO1PRBtXMenfU/fRGnIVV8mYVCd4RRt76B6/dSJZZ85LN1q6ARLBUAE
U3XWC9GniYMZHXZ6nxSVbmV0wTLjPsX01bmq6w7UhOw+SPvhuG9cNuE510AND7TlB/DVqxk0W//R
9krtKypStolP2fKx03HDD43rHpVuz3Xf7tvEt1K6Rc5gbAskUnoESg622WGx6uQ/Vt5/moyb+AQN
ZlzR4YcgGhxYwxxwVwZH4X1jvtlgV5j0DG60FbqWzFI0wgJBXvYN3ydIgyH1n+sWNwt6LlTC0WjV
Ai+c6bK/a2dV7euDBDD5z+dPrCmbtKP8YPyKO9sXqAD+Y2T+KtX+TXqz1dLFbI1gTiXkOVoC6u7C
yiRoMBIwDv0Ap6QWEA0OhkXaOZMcwRwGPqsbga6CHadly6mDkXp3XG0kyDeTJsSdy4xW6a4KPN2q
8Oagi+C7MV55c/0oLhUF5+IoBwXC4a55sZXhNRV4GFkk08PcS4YFaqlBAZcJi+iPfT+wCfZ+VNPq
SjtdCQT2CAKBP1ge76o002QT6kjZEmqpmY7R1ffLJx06teN0l76ablV4NnXxUI54uJvg3ayHuMtb
TfZp/GiyifZYgnhSTc10JHVkgY+JwF9p9Pd9g76J9laBPxyCunB0RJo8CwI0cM1xuG9f24rwBLSm
YRzQ8dhCWZO3qhePOqXj+65332rwYm8tjVg3HgOOW49YreJYLcm+gdl6flW9j1pcxI5HeFSS5wa4
i+8sXNN9adBWgAfUpe/AyRqOTQOWG5yr4QgTAxWzb2CuGfv/JFmaj2DpZMlwBKy+PyXlCH/xQO27
Y6dbER71hK5aAVJFvZFQXI0f0F4973z1TZxOgPOW8LcbjksaASwZqr5I1c5cJSZ/jgsQbwCYdRj1
1cCuxY/L77CX+3oJwUH+8+HBak1XajodBbpnDtxLsP8IWjn3fdJNnK5ogygrh8QqteT7YOibkWRf
ezWY4X++uTQoKbc2no5V2AP5akl5LEvI6P79zf/hmLhVf+lIdUS1NDuxUifuWU6mAvqYEUBF495i
F/z3n/mHnGirBCsdLYEQwh+RkCw4OJKA3jNP+5RgdOv3ZWWZjiPD04VoqkMGGVjB2+XnvlffhKuq
sRxAz9gf7WyXojJdfRhMuW/j2yrBuI3D0SRJf3RqcicjMwJYEl/37XxbJdgCMjQDvKg/jnLVp2hQ
H9eoTnZ+0k24rtLEa4taz9FmMi2MnusCktR9sn/c6v8565t0Scc0K+0xMEFf1KttcmqXfc5N6ID+
8+llHGtAQJk9gqwnizUxushgk78vF9tqwKYItNqpF9mprpv1wxra+b0Om//yrf+HUCKbDLqk3kcT
xMpH0HHRj3JNOCyJ/qtG+E9P35x1QbhBuXrh/BQHKJ274Eermw+7Ammr/lIREFfgZ6Qn+HyVOncr
1ImjnIfP+x6/idNItxRw5Z4DiWcaCHDrmYGTFoEwty9Wt3ZfFpQoZPGWn/gQ5TUntzrcmYmRzb4K
I65uXACOPJkY299VD9HsEyTSrfILMIiqlGnHT+vV+kj5KC5imfl9CQHZhGkdajmuSxsf4MIFhqF9
Dtk+N0HQLf+M0TCBqIgCywyWuT/XTXAfN9XLrqnyfyRfsBGSPW3iA2GTAVPMgmB/kd5MH/c9fxOi
jY26Wk9teorbaIaFejzEt9dWvf/yE7wG49+cdLd6ripQNs58yU7GBsPNWDpnHoc0FOKIPtW0vACW
5+XDuJb/H4frv46qf/ej11L8/6St6ULKxtWdxrF19s1cRLrSxB6VQtTpkyxnBRZca4CrAe20w94+
10vfpJdWWybNCQfrWplcr8otF1kuQfmNUg/ZXRNC0qpyWi+r96DQ97a7VyzK7IMbwIZnlzmI0w5Q
tFWLoMpDyisq8n5MLRKhluHT5QnvWvHN9tJMUR6rtDIXuirYPR8WHOhTcVg65/tCLbSe32Ah512V
JwqIH9h8L+ApNnnEpwCgQr7AGl7dRFYxWN8b1CxHAxRhrye84ADi9UdLDA4ydVpnv401+Mf91MXu
wCD3pWAxNk4VYDqS6rwCZc165Mggu39rUbRNp3zuozDyeZIxIa/0PMV/GDEB9INGzrXtwbvtq3r5
fBXp3djVLHPewDRqKLyvhkgBLt2u5XHFlQ05BqSchwKw3q7mhWN+ScyBOCBy76LMMX6qkmkFgFx2
7XIDSkBTAI/r2EMdTlV2CCsKfrZMwZVs5sxkh8zAADefO8G6BvrNupXiMHKc99MCFZJZtHizDojS
PCMsRd8IQOhlnCJtxFrCzHSLr9XKCkhBZHY5jwINjrNpyNduNOzgl3VOf0zVutCT7dtEPa49ydi7
7EiaPtIRqNP7FRTnSRz0ih6V+MT9FMERYWXppB/QoZHhe9mqsng5Ea5cTKcQrsbIxkzYrupmYXT2
37sMyGFRtA7FYJBt64x/iOYUZoQFiOcgiYksuNpA6kk3PkAXywrRFhx00slNxwXfsm0vJEEhjVyY
ajKwrZniJ6ZkU7QMsPIe1RSApd01s3TDXTgN6uh7rFGPrBVT/WGeiWgyTIeWTKeaJsDKtkLGBC6x
ctEHnGtk9iUbadPe8XnFwQ+w6Wnuc28BhtY5wMkpQQY1jpTSgieU1i+Rynp2gsGKAs2c+AhV7XCE
t9qKa+bRCfRuhcvARig5GUzWQj19JzpAz0zv0ti+pYmJsoMsh6T+jrNPphE0Jm7dYaiTdnhUUyjY
B8izOnOqwVImB96C0n27JgFR95H0av1ZNbqd0DHTB2382CFo5bGxYCNfrInq7pMMTBYSLG9KsCRP
TcztYziOKvoe12WZLXkpuBFn751LbkPAetvPtWdLUsDzPkQ3uvA04rB2Tpj+UY5eKJGrTmXfE8o6
+wnd5asscLuEvQt9Hu3yAFXfkOF/boP4R1v3br0YYpflg1rDKCqsRCT9AJ7XsRuhyPo48lCcQtJl
9VPWTyk7hlll5Wun5Lw+ezR4kAA30fANyA5XJ2J2GTwQnb8Vbm7kHZirYCG3ba3Lc0d41N9NHQcd
tI5pTL5kDETKn5FX5SNayINbXCOtP9DaYvLaJwKg7rgMDnO1Zv4WDAm33sA8iH7WvIoBotbodHxJ
F6mbx0iUFdCbbTUtx6CT9XzDlz5kZxC1VfgpZKUqX2XHhS3sMgbwRAQ1d0ATjWEA+bl1SPqHIVzH
8EIts/ojwB1l+zQlPJWnUKo2PYxz7bB2+gRc+BP001H/0HHHfmh4AjRFiZKhf5Jz2GMpke3sjyxp
x14cQtxWuTtVw+D4VIrJor0mSJ34ILOBxxcD6jnLxzLo2XcpwUEuRDOosc6zJipDgI5iOl8GbYbx
MHoSBodxaEgE0O7q7Rc6crzBIQlFBDvDGW9RBWLo83oOhubYXC15QMjG8v3YeTSmHRPb+68kXDwD
Xk2AWVwABcEekC6JXyVCOC1qLYkBrd0n7aelA58RBkfGwPIsp2pdq4sf0SX7YQGfri9z2QF0i/V+
tb5t83rENu1zVLzd8MNPjibvQHD02BAU3Gr4q8ZTrh/SjlN/BMQRN53HxhOT5Oj9bJKz5hFXRwdS
tF5A4x6z9c7Pg0DVYgbGit+AvIscEZ1sUl4GUNYCsGSrKnhjierJQcZsCg5D6CJ+SJd1rd/7cKX1
laXt+XkybVAeOk/K5Z4ClvMcRkNdvaFyRBYFZrAe+Qmu8WK85QonmMcFJbHsFKsK+91YlkkHnXcs
53sjwloV7dpHYxHbPg3Qt9APJfDhIWZQ9DqGyqAZo4nH8bmaw5TctLgyrh9bON1VXe6WGAAd+Irn
ne95dIkoH8anZOiC5hup5kyDRUwHzLFGGi1/Up2tmAkGlm3DsRVZ5U74y+b6mBjAeD8y5WR5O4iq
phc00TL9MPUEgK8jliMNoPMU0PLXCqtkeJoPsk5uhrYSAtpmdGBhjmTwUboFy3qxN7Y2FJphAg1x
eBwsqIdA8i4NecNvZu8ukuP8VcM0Hj3pnMg2LjrYL4oiwPpUFnNp57easJHeZNyi1yVpGohVjeuz
oFjAeAdSrm/9jAYSl4KuugSZfMbrJsnT7BdR3QQNiXFzVJUqmD4Ys7bNLaS7ckVW1KzzD+waAziu
QxWG0cv1poaGBZVduj6sIY/NgJV4XcpLVuPTw2iWgW5277Egd0+gXwz9JRwlH2/mkfHkunPPEp4A
AsM4DPnIEeUh/OrEOomiq/yyvFA+a56DmpaxUxobrG+5or7un8Ixyrpvaz/YuM716ObkssQ0nB9j
zH75uR5mIGjwR9K2fAIouPavmcIg3q6k7udDQ6dkvMH+HwAQ70Zi3BHo6hTE6kSN7YqPCYjtyXkV
mI9ptIzm2WHM3G1XQxb6VLtKVkVcy3b4PNuUJF8MSZfMAIcOo2qLkaJa/GzgmRo+w7U+5t9aOK+o
r50GURjnKxgi0sLUpE5vTDoOC/I3GWaszbtgWrAV6hnbB7I9WMayIAHgeIBJQ7tAo5cG3+Eqv8RF
iE29vqxTpz6kE+b3UYVes6KaV9RcTdrEnxICXURBlwzod5xF4xRExDadzkSnCXM5nUPTPVrZSbQc
R7DvPFle6/aBGusDnTN0YH2r226cT0lUxe4pasIe/ru4Z+Uf4qzx8uQ0SDnPHZH0czaA8nIY4hKl
gKwKRva4NLZMT2Ffe/KE+yfavGqVDutdVDddiwUzRmxAFg+hWnZWMFHtH0qjuZ2LLI7F8wLlS1DM
rDLudVh9h4Zo9L0SX8DGsFRFyqPKPqkBNaZcGqG7I13QV6tPaFGLjllJm+bQhyXBl6ikjh7iyV5J
rmy4Jj8ZpJUAmvPMJeRgpi6Mplyt8/KpzjRck/LVoGvxg0VzG30XA2vv+2ZCxlVIUQdFVMMVbimw
urs89YyOn8gE24MbwbzFfp/OIBbnFA28dswXGgfjBRhwGb5MoK2DYJ2w7qAWOTVnNSPUvyQh+Nsn
kiodgUzSw/IsiiuaHaiGPDgfaLSeODYjP+Z9UtbD4wTpFG8Kw0yq79VQLk/ZcgWgrv1K74YsU+Ex
A8FmxjaKlOMAHjqWfa9dIC6KNcn4YdJl5F6bHlxl3JF05Cuo5iCAl17GN0jXQM1U6KJpUWnP+7mW
N3IEeLuJ0VeNzZYW6zpym7eAIbHD2IfkRiAf+ORNSu8ErJRMznjdDYWMCBPwbLUkb1sQoW8zL5af
Mbp/6geC0DHntR5W/tAFpH8OPSxecQSi471gGVmRO0Vx/+wCC9nuOKcFQxv5A+5z0KwNeCmFGzna
kB+WPiMfWx8IIMFrpnJj5vHOKc2fhIeD/kFhGhfJPPmCyLK6ieOY309MLLcimvXXRbj6jVPdF1XI
XnTSm49JzRt+xU8PkJ1MWqkun8OK+yEXyHaX0wJU3XLDHBHvLJrt7VgvGT9gOoOovk7rfGr6Orld
IF+MP/ogS9+E9lAtHMjYpMFNaVLndV5i5mZok19k+LMay2X8mCSMLbmrzJxByhk5vxyqqx/ARS/z
CtuUrI8WC7Ju1w0E55iKtvVBMBcFty6K0Y2NtlIf3vYyKvnjEMzDeHLo8w/fV6YJK/gSu/Fuim0i
viJzNd0xGUlAbmxlq/i+np0G7FU0Tuc+sn32Tidtw6eOTtQeYdOwNLAkGJi8tICg6y+BBEsYZPOl
SqpDONRyzKekQirKxymtil4jR/F5SQNKdb4ky1T9mLOEdvdubt36HVAqj3RIjhmw7ritZG1i8xoN
Q/URLjolOfeZruqXOcLZ/9g2MTWnMcW6c8CJRqSX7iq/O3apIfQJTTV1cgf9LI0OEZ8TfonQNjX/
riDGNk/TMGY2LBYunLwduoGGLIehSIbr0bUmennB0TglOAVDsrneDYMesC7IJvXRgzUIyTeFw6r/
ohLFLzF42zggG59+iQaqgq8GF6w4Js9tAuIiitCywOxAspSXk8PqPvTTfHBG9Nknhp7+8T3zWNs/
D0PHSX1I0i7AflU2SeDemF/rWeQBISnY7mPZm4KXVJPHYc3m5XeMdn/9s6/QzXbMamALXxctZw7D
gaTtn8F4TtR8bBzcXc+8Ckj7zBBlWBFD2ncZlic5pygWygZtzTc1DaW/oUqq0BzitUcKkGvGmIAN
fIvzBzK+uisWZ6+5CDAuo3+px74X/syVUP27HoLWndo6GPllGPiU4Iut3PeHjujZfVU8QS8Sk4oP
X0evOneyIjRBwdUU3VWdKFnR4SJ8vF/qOhb4JGmFZsABVfait65DUtox2Mm8TytcctEg3ZX3rSDd
2Zdz9tpRsozIDpJ1tU+L1hoQ+TnL0RQmJgq+WFa3p8VnyVII4FSny0oHHNAkn9J8GH0b2HycRj+8
pJFP5W8HtEl2XFUYygPz1301FwMYEzcl0uz7CtZcmHU0MvS2rMFnvbNiaT/xDINwoOMYRzoPK0ge
3ge91gGy1CUMzvOKeX1GHhCltyO2gPqb97Q64wgQ8S8tLM5TWSRchNWrdYmUsISODKumHJMsoUWG
VXXBaS5A49yayqh6zGofrkWPgP+oosQcdVmxBqFWTrdtiArGA+oVNHnOmpmpW+96/h2VmM9IPUbC
gFRhkIC3YMSQ14aI8iv8LOrqIAwWxaru1cM4hsjMVhiM+ItOM1nYdQFwBG0d4U2V9lQ/dCMd9ENf
TsPdZG1bfwMgevwVdGoYDvMU4DPGc/qupvh6uaMy7O1z7N8ZconxINYOuTp0TeOca5+aE5qVOctr
6wVyA1xVOsDushn1WqyEA+o7Y/3o0WUCAmN2rfSg8bt/V0jGcpJAgX5BKZ0P97TLuuCZphDxQRSU
NsJdHBNi1Pgo0xIO6Ogu6+o4hzSr02OdsepFdGDDHyN0r3S/Z0eUKwKJytVXeDWAhtsn2RAfG0kW
gqlZkbe+wnnkvDT1kJMaC6jN3dSDYifIJH9kiRnIO/WTdMVihginnTTWbs5rl+ngS1VF5ffsmprc
ZDO6zD8uzP4alR5jpLu8i5DMmlhNNxxMkKzgrDe/2gQhm2dAdhTAgoTxUfM4+6v4p+iKQViyI/wt
yxhHGUDVTzNJffrZioCj/7jiJSqDATdwRhosLAoOSEqMv01Y2/7QeqYR1rlY1s07nNp4XZBeenpT
j/HyE0dnsd71mpS/jNQrT8D/Xhy5N9LH3cegDFnyKwIyI/mJo6VEZaQWyT1ve4W1I5RLQUTU+eee
l6lFXwfulmLBRPhcBYyhmo3UI7xLPAxFT9z1jBzmcQ3p0TE3uFybaX6DJ3IUf7I9dy9BEA+fsjKN
PkL7Ma7ntkQT0E3Q4mA8azO7I4szGPqutbOfMObqrokUZG2sBoAbHidxe2kl512R2Mb43Aal+oxO
3TnvEjRvWRt7dtfPNnhOmZ8fGF9ldmpLWC8cdbLM5w5YiXNkdXiJwWTGmtfQ4V1ykSxPVrToHnYO
fj950k3l+OYnWLx+hYEIDmfD4mP5GaVhmubMLRgH4usaywKnEW2RcaToP87C8aOcGZJEilKCEMgy
6iSAPWy6BoceMvjkmGQCdRMPvDo4JWm/VmdiQ/sO+/VavZKsRRP4DALDa4UXyWnlIjsVWLaX0ec9
amP0ySqZxgW1eJ2PbVv69lR3ZS0LEqfWf79qXS9to425m9N01fgNFQyvKoq9fqIi9UjYloqesswG
7Q0klKl/QSm6OWKZaJpTnyT1cCDS6QhyOYBhj60PsYjAH+MW3wLliNImrcVx20O07JZlfB0CWbui
SaZI3waBM+sZ9mPrzyABNinXQEPeibWdET5lhuFQPjwqHk9F143+lrYREk5ZNXeLlckr1MsdOgTg
74g6B4waaJyWn4MVcvJThg6Z5SPqTLPDRjSE0c8x6wVJwcBRK8oDg55sc2lwQ1F9lWs3mAJfCg3v
mZLIzLFiamcK2ZUW/uUwL+IPsEjL0oJ7ZqfL3MZddk7BAAcatXQsq/Igge3hyXN6DcKgdkKArtjh
xITFRx3qdeD+MqIpg+eknUeNMMZ9168Je2d5sf0YioODo3YIJaYhcfTexsjQDs7zXhZp7Bh6fUa2
qPeKwabmEMJvvvqsUdCIc9NMUn4M5xWrhwgCFt2yNDJJYTjR5NCiGuaKtnEobeVogprFoUZzYfgU
267PXgAEqVy+wAXaHqelTNp8IWuMDIbbaPwR9KAq5AlaPfgLWDYuPcvF+vQHwx/lPw1IUNl9MkQ6
LWKdKvKshQ9hmmxxKJDVYMzrggZ+dSL1EJolT9Bs71DAlM0qcFAfUXLApJ6RFILRXnYAa/OhfJBt
WK2XKA7n5oFb1GlzZqmHX7qV/a8woZV8JGvZQJdUhqq5mTIXkGf0TaYMMdXT1eP+p/l/1J1Jc+RW
lqX/SpnWBRWGBzzArDIXAHx2zlMwNjAyyAAe5nn69fW5pOpORaWU3bLetKUWKUXQSboDD/ee+51z
l3rL/sap3UK61UXAVMUe3sup6DQWJK69e9By5JQvel5cPiGHxic0Wq9OMaPSgBXXA/phFuCv6LvB
J4vFME+6Y9o0l3avlXsFZzG+T+bidWHkOFG/mzivp7C16zrb5JblNqHJRpo+85u2WJIt3WDunSJB
/BrwZX5ZD8a2tCpME+XNx6jXpRvgE4k9OySJQeeGUlHBPJtRaBUfnXG2VmqWvhZ7RIKKaX1Dbeej
wxqZj2F0TcOGyyDfinkwmk+p7CzX6B0M0VvsuyXE5HudFTl+rowJWc/DtKBOFIGWt97OMWtzmQ+Z
4VruM5nRRX+eaO3nml9ciVRQg8xWdWNLlc8vGr+Np/mJ0VvVsL2kWdOQju46iuvh0kGfIq3KZoov
eFkCppYojm+WwuhoVtrBcrjBRYZmJQNmLTbdqt4VXvlNLXTXsH2LLPTPth+1hmJA2jRMVY+3cWRb
TdUeO68a3BubwyOmVHTT9SNLmEZ8TdOpyrYiFqU28e7WVskuZqdVd4Jyn3vZ9KSwtzWlUfOZ1MKe
XL83PNKaJykG99FAn1Osf0H/79+9VgzZc60NlXZbxQx87sZLo0piweLmZiDHhlxjbHN1mx+SgrkX
F4morW0raXycDXsUh+aEAzC2p2BlhlTR6apWKhnqttO7p6lmknSmunadM2WR6B7KPM3ao4ytqTpo
A4vZv1q6HumBc6nZtkNVaIOfS3PSzpVOOtWdNnSD4owjhj7wqIzLzTIUbnutuh6jS2Hrcnxcc5DG
wNU7hjzKyksiZtpY67+5TldHj9bUcfiX7DdIx/WorazvpmQl1zA/THVsLdRTrLgODDn3w36pSs/a
t6js0y7PnFV/RlW07aPKmAQGtV4AAGzwE+utG3JtrmhbF0VN2zataQ6B5RSp5nPPXTl1twhmjTbx
GFvdAK1utkozmPc4JSOexc9Zseb6SzPXdtgm0hb7fh68dV+LWdNLIt3MafDQ9GJ2pVWDZ6Rn22i7
7tnuSFX/lLEYijOFrZLb3E4G72GaGM2EeeymMe5EgLRbVZa5c4rivMweJpc35rSYbtYd9YGVOlcj
P6vJRvNltW/TQRbxcU5bL3ui0VPRGOgD1XITppVbIFsLMtqUHgzczLUWkP3hLHXIHFC63jYDB7xE
GMtXEgz1zgg8jwDMYlMwCuqGAwVYyxvby7Rub3lOlwjPwDiM0qjdvOXB4m3HXOXZSbY+MT2J5u3I
nbz11lWeaaId7WRqkUdh5+ik15mXMZ5r7vTUcepdlsrGPq95hfPaMJeqf53U4BFakQ1Eh2z7uJ6X
xDcmx5bMOE2gK73p3DFwEDa6r8VIZP1tRexCZ24vUa8GmsZss9zdbVdvTAOvmKYsXIr2slGu75xr
u41EeRA4ead9U9aDFcbjUpdnsyOnBolUZ95aLa0ctgoR3/C1zjC0LTPKXoW5G3u0nXXT1VRIVqGs
t1myRf4UrXE63xPJIHq09yRq1w+rtK34vc4qPT/oFlbHg47q21yRGtD2jzmR1NQ2pS3msyG0bvm+
NHZan5cl1joEvtl0g9WjHPHRlwdmK6rrgP2aXlwNetFNQb+wOPTQ8iOk4bCaZhbAxjvMzIW44LWj
u/Ugm6/zkc3AT/qUxd1V269GeZSsvVsvn7aM8Dp4/cJm+E6K9B2ZT7PC1Ha1uiOslX4m6Equ9mJD
ZZ3xgOQgvbT5U1tPN57WjlawaJrRcrO4TYtdorYv76BXI1dRSbS2d9PJMdeIG1BSfQyX5+OHHIhP
wEtux4em8hbD1znv8gerbc2eey+2i6b3a7fDVY3ExKIomehKDy3T1sBrrLiJrs1E9tOWY5QsxDEv
1fjZp3M9n6tVFvZLOw+OoHlp0uG4LHKdX1xZ1OPNJcPR2nfFEPkFYTeNTzUaX8Tyeh555jLAvHWX
xZPHLsFpcM2gpMDwTm28Im01GaqVzeJKYfdvGFcb18dYZE6b2akzVLu2Se7BJAwqopGlzPcpZCPP
RXZskN3ojW7kPcta9yDNS5151rgro7apel/h9xN+5cIRWAGz73b4REiKEW8RbPT+DbViVZrv9JSv
qW9zyvZoiHmF28MnpJ6+cztjD2U5UDkLJ3nFYb0MrT9MLLFpdsXY2yoNpob8cOpQ3ZltI2ytBJQj
/Peu7Ynn1Wx3x6TK6gMdIqjzNbdvooCgZOvJ4qu10zglcX3wkov2G9N+z/XlzBTRTWV27Qa1YB2A
rLVIO/x7NMz6vHQi3xPUPc+h7qTV4K9LYt8wsCqH0Ikwf/81gunH5XPOIsqiKrt8o3tfUvHojH8N
rv8xUMjOrZFxDa9rqXsX0ULZf9FC8+PSuYq0Ri9SUm55TOqISN6oX3Wc1t3+z+mlPwisYmTwe9IH
KczsIdKYTGjcf01Sqf5UTFpFBmLX1ghO5piyFkB6jXk7d0i3NFippgeVNvM5/fkPcaGK/hlt9ANY
FjOimZXWym3FNtM8VJharoAHm4B6jfEjszj38Off6Y9gqh84s7bpuNRgircEAjTyoV+qaAjrmDo3
nHgykU5K/ENOVTov5b94h/8AsvwxnSiFD+NpYtpbx2UnR0/szKZBa/4Xv9AfvfoP9FnNRr9OJp4N
OVK8Z63xPLl19C9w8T967R/wUMr0pqjjyN4urP3wk3Y5qCG3/uKL/0CY9YbRl9Xg2Fs06A2DVOVH
Bsrjn3/Mf/ST/4CHRvOoettTzjbWtY5n+hj5RsLT/6+9+uW7/gMcZ2a1BR3E+2KuBdm8vceWybV6
+PMX/4Mr9MdoIqc1iqmeUy6XRHrmR4emNAW6s5jsFXLNovbrARp7j8nJrv/Sej7rx1V3iRtPkswW
e8s6VPtFNG13nRrIq3/+C/1yuP6Tu/vHkCKZLhayUCy2heslKNBeuUwMV/jf52L0zrOg8ua/lMIo
nZ2q08d0VY8GV5q9jzo1JPQqcbJhO+PHPFqsbvZ7SUn260/3H78Lhe/+/p/8+7eqptmPk/6Hf/37
Y1Xwz39evuZ//Z3ff8Xfd5/V9Vvx2f34l373Nbzub983fOvffvcvG+ryfrkbPtvl/rMb8v6X1ye2
/vI3/0//8N8+f3mVx6X+/NtPbx+FKkOanlZ963/67Y8OH3/7iQwb8x8+ocs3+O1PL7/B337yVfLW
/s8v+Hzr+r/95Lo/o9/YNFGmbhpY4rnGp89f/sT6GYRemg76i40D7oKMlmw8Tf72kyl/tk1dOp5h
eKZjwiv89G9dNfzyR+JnvgJtlZ7OtqTBKfjfv/ntr9fIrx/GPw/wJyTrd08KKUzddS3DMIRtsz9N
t/lN//EWbIiD6EqvsHZ1ZIjHNBZrOCxJeUTZ68IxnYfdSDpMkhWzT03svipZFGdT2EPD1ASIc1d6
hoMEI7KXNEnUNYvAnSvDK+FpeRglnt8hETOOaB3nxVwnKt+JluocZUnFSoK+KYmOXJxdDO714llO
9X2tZP+SoLcRm2eZ/Y0jtflWd2NU0E7XAtHQuU+6ax7nlinE0E3NSXRldWSHL+tfvLI/0E/IOTRM
zXrRnNUUp7rv0lOae1bnK1eUj5mKVv2QKaGd9JRvFNgiHfF9OqMDrlhET3OVUr7Zmn1yvGr8ylMG
1jDV0IyDRi7qmdGR/hTZy+RtqYl5bauaQVXylDMyzlfzw4sjZkkAvNWRyXu8tSl/ry94CPGLNONn
vUgRWNuKnQlFJQsIAMdq77Qa+skvBrXcwbyl2xHY4qp0RTb6esYuYWpOuxhu4n4ZvsMRa/dM9CJG
ISqa3mqGOaCNWjQC0GhLc53MmQ19pAOpbiMyfRxmiWN2163LcnCAvrbDgjLmlw1CeDZlQKaDrM4Q
mPYhNYyYIB6BLlnI1Nubg92SHml9T/pcNvxabE2GSxPtPtWyZvArTx/cYO51Pl36aDPzaerVV0ik
DHAGiJREy3rbSUM+2JUutyzXaz+WPleKdyMadoOWWt/qzJhejX50jlqdxic76ao7x13Mp0mU7RUD
ydQOkkWXGk4FPdU2bFgsCz8TadwFMnXs4xCj8efZ7N0A3dbsM8zKOCCapzguhFLDwaeMMRhQ3a12
LU8sUZ82hjPYXwuU6EcijvoHoRORtyfBSr9Tq0ZHzVwRUjO1Z+9aZ5P7Te3o8Loyc/sru3Wts91I
86Abmgm0ySbmw9CtZuGXE28pAkVW7A3NS+9UPEyWn3njfI6m7qHQ1+ir15bZUcuEeJVt4ZyktuT7
2GxN3qbK8K7bgTfKt2XpdjBzjV0FJQ0hbaGXasAmVSfXrQFdUfput1qHbuyIM7KczsQsOrb3WuWs
yNnpRp+UFtp187WuiwjhsSrCBrHsuRHtHLReddSZubHoIapCexE3fQbBJW0MFV6fYJAXL1GiNsVg
dtuqki37IWVyFro7fSCDfjO0trkunPahaevvnuqiILLQMj3a5brugn4V003RxKG0awHdcgGDTGdb
KdwDN5FdcNU7bBJxthPdc4kc2bm+EvPi91W37mb49t4X6WAfW4DrSbcmDoQisUJv7YuzK4Wz4TYc
n0q0iitNBx5k+EEOoUALuesdNh6jY16CIFddSyY/1mb3K7BNVvo9o7GRyzVOvmUlZ2LIaWLOmwok
1Du665wkO2vgzfGlnWuwF+7ED8kX2bpfsQcm4k6YBu082T1K++TK7ENZ5YD+yNAWF53NZdHPOwR1
sdNHoW9E3AAAtnJlzYuu74pYFAouLYqeJG9tMPSoJVON6o26UbRhlgDCI9HEzaZM+2HLXHu9opPU
H9y0Xb+6cEqWb6p2PDF9rQ50udltZLrRlvGt+l6rKepReEG0fBBXVgEsjPKVpU2zv5rg+SVh1a+1
yPV9kzHVx1CUqf0SKQRUSD8YxE6aV60D1mBlntqzMKn9IszW5nJYmMlH9LxFXfUbMibGBz032i8a
nP9RFs2ChJ1KuesGNATe/+42BZwfaXPE8M4yHZo609uTNX0ysmw5Q1DmX1oz7k5xzMqLNdMehnrM
DmnpZvcIZ/GNA6V7Y2pZsXPL0rptynOt+kMxjsut3isVwjaMT55njVta8RLKeJbNYc1q7VrvSr0+
WVxNNxPC6zlNOOGDDA3wyJDqNfK8/lUSbfbcqKG64m3O7opsFV97u2T3QoP+UwcN2s1NDB59JiUF
sMIkLStMh97akO7qBZ3tmldJsZZrOEWD2ghvOOXLKoJkJRLc18g3bbWRMY/HVqWHdSLgI1+L9SFa
eyrQCIjqxfVma7PUdGZFIqyjzEF0/SFf66Bz0vQD5Ho4GNjvgdmYFT3kQAnb4fK9pVLWbU/DuY2L
bNmbRu18M6Zk2Tms/ao3bmEugVXmJTqwMTMsFxZGINnFpF6ION+NE4/7um0YMhgOoGk23SdeZ8d+
rxFT6cJ6Hbx1iTErsKRQRVH+ohH4/tQj9Z1Xqt7MN2RjHmsRNUNQJpZxiHXro1v0LMSokb3j/CTL
aq3S+glcCoJeUHqUode08jzXbnplut3i+h1nq50UbwAGiss4S69T0cY3Vt0xrI7WKEbymkAbERCR
UcAYLW2zxGV1J4Vr9IepUetjZVK8+XOFm0LvWucZIWl8IpnrA0dBte5U1DFOj3PrRnpd/In6FW9L
J+lLhlYzgEcHu0U6rzdvwHHN57SV06PkqHmLZrJwg5KWHfdGpqO4ytSun+SS5p8QmFlAuGkeFoli
Hoye9Zqkpuns27SxbvqmRpjiEJ1jNDMWVaXHtbbHL14UvyO/77m13BPLgtNNgfXEB6Dbl43xoK98
zktaTccFkc3OWbqjo6KxmGtaD2VaLyboEDfJntBw+8TSa+dhLPG/a93AQu3S6w9uklJ02GvWvYP5
XuOe4YOi3TmY6Ey7JuVhynBJS0NIqDwsbXO6iyOuaSAHHq2F5eE2iqYngGtcryvJfoDp7W0uxfyU
QVGEODtsP8tLAuK7XGxkZWuP7iw3s1gwseimezd1ENXtFFPvWSp9MRZMDyOkw6Ydy/oDiC3bTYR3
bGLKrT0IkfcFEXe5iQyn+hg7c95OEJlsOgMzeWiFavZEY1GYmN0egCQ5J9WwbEGhm69kI6yn2aic
70y9MTFE9k1ttupUaDzuS7Mx3pdyIUZGpa4Jtzx2VuIvo6ZOOZI6hqUum79HkT6d1yWNVTiTsne9
OC0HyTRX7wDN5mbSOsbKzIl3UzGpWwezyxbjgbeVvZFt11TWV0PkaTsiKIvAiNgt03TzR+Gs3S2W
m2t2J/V7A+IvXAz8V25P/rZcnOzc9CDOyzCdKTpVCBgobvLRzPdRzbEO/kimFkF2rLk5Lz0dG2BF
bXg3Mo67bVH1F+w+VvK+wkxgBU2tG9uk0U6cifAkZp4mj0XDuepX7MtSgT4NKWWE16wnCXe1JeJf
u3d1uOpXuBhXHseom7FN1DhX0ZfEd4osmAHbKoxnHlLNbp5641PaU9wcVzxyDfxW5n2Mg2sY27Xl
adSJcXrwcltCfg3rld5pV1hr7XuKyeXIho7Et/QuI3ZYeVRzAFC+W6RqweRjdJE/tbb1mGdGvMf1
0FFSelE49enJsmvnmhOh39hNXJyd2BwhH2JLfUGmsc5moeFpps5cr9ueOA6/1hmd5FTWDxXs75n7
1R6ovUCf2mYZ7zIN4NtfpONeCc3odb92ytVk6iv0ENbNaMPZKPOH1XBMfNlMtF7LLCnOVodFJmCV
mn1tVVQoYJug8xSrxBIlsVPdwn7bTtAVXeT4jJTUGmRNG6+beNWheLKoTl509uue2roG7k9IDTnG
khKDlbiHKsuL65ERX47Po7gyR0fekTbKVqlZEqATpEVZfIBRGO9xPbhAJpl8HRJjOLiux3zPcVRW
BTDOWRJEJdIv83SXfKCSzP9Qq5DKNtE6uY8A4JCUbdYum5k10GgsF7dDY8PeeTkeUZKnQi3xjGBh
tc+OU+sNwaf3PZNRc+KKZJdf5hCzYk29Gd+ajf29McZ4H5WVdpjTiBDmQjvodbIXtrpeK1iF0amL
ME/j/kGfWnwfOJh2kU3uWkaeW5ALIiAvLYaUxZ43Yg2AS8qK2pCf5OjY5Xd94S1RsbY3nVn3+SCU
T4t8sW54Gmar5MVrpzxAFn/Enr/4BiGSGmWHTzs4bdu0v6Gdx3w2uWSIdk1Y6NreUqDmNCPvWmSd
MzsFL2Kt0grZ6DPc/tpX5inWac3YGIWuiOcphAtf/KxK+gNrxdZNMRmjz0LDNYxUYTFwH3syDQd+
zpGQFsebME4T/QC+CU86vxVjE3ZDsofPSkIiz2/WQWa3k1UQip3o6xX3ntjVVuSFPHpIYJyWFhek
Z1rHFLD/PqrdbCeAYIK4wWXX6AOGSaFgsbW6tHAkdxlFqbaMO2LKojsYDCMKAMwXK9C8wW1YctW3
Z2cZUhUMOe+v2+YSKlyDZLHEuBeajJ4Hwxy+sD6jToMkyWlY0t5Rp7m7UEerOY53uZ4WIFFx7T3n
opjfeiuOTh1TO3vfRrVPQWN/iad6iDc9dGEaGIz75qPOooF7p47nYuNYFqNYZhI+Dw79BbNT/gC0
Uk++1gpH32lZ3h2llD01qAvjyBi6fmF69mAtXIp67z5iOrFPHDAQ2Kp293OOKaNm8N44k7PBo4Xh
r/M2taGPn+YCtkt1qrvXkJvunh6r7Lnl6vx1cV2H4dzSpH7VRuNX7iwVKLuG9iuKZFc4s7Obsaps
bEULZwJqHdPVnPe9i0rgu3CWG2W29QknLgIDvqDpOYaWeK0wpu2U0w+ATbKTTy6Fi2BIQ6aDH6VW
9qsu/f9aV7tS3/BjVt/7H4W132lx/x+pbwIxFmXsP/5b5fof8tvVG/LbW5f07ds/inC/fd1vKpz+
s6eb9HJIaWQ/SZfByK8qnDR/dmzDwFGEf9gDEvoHFc78WTf5DwhkJuHk4rLc9TcVzrB/dgzb9vAf
UtdZsAf/Nyqc8avM9r8lXV77ogxKA5eq67DF58fcURZ0uzP0/IxUQnzM3rlQ8JQt2FTXRHyPMzZh
BH0hPSucvXFtfTceG/x4sW6cPE1qauPirfazsrOrLwXeM+96HPTL3yg785vVOIYeKoQCOQuoGUbP
BL/mMm5p8rU0r+9s/HUvGmd4/KAvuJzuSEzOO5hecmIDTrBphGJ0IiiGfGpbIKTaA4lhU1wGqIgr
DlOICSnpmQUFykKIqgwqu4xvyz42vrMtTgC1s38waGjBDk3WaPdmlmjm9ZCtYxFimxXg+spospvL
dPtMlCPubjvXO36Bdjqi2mA3be1qjK4j9iWCvLlwfvduZn6BSFmM3aShZPjIMZeBawQbMuMFwbwy
tyI9i9EyugAtJSkCM5vjNqzGTrBpIaZeEi6Ok22LLquHFMt06dOYqvQGsl8nJ3c2nxwo/7OmW0u8
XSEf8r2Gzp8dIUAHtJiLj8d3pIDqXcA4Owz8rrgzKRIXYBcxgPnZSdinbkyTH5s3khjSs9G6CWaE
uH7tDO2bDRmQ+kQxVwNEwCVnD2tI7zPUcX1P5OqFV2MCM8btbcQcvjrYec1UfMUaSgKRHov7jAzS
+KqMoykKiCnGe4gv1OoO5bKiYEyVg9gKKmivVwIg9FKG0DJSHq5C2wMKpC+tu04IcQypxquonRcv
sJXqzNBl3nZbzrMxBbB7XXkGPyV2AMcGPVQ11sbe7rHmBd2iMDToIkvqUzYXFLtI0cO4scup3Juz
2/ch6oxZURuZ/P9+tJYFE1Kiou2SZSOIxlJ1ywYTiGlsEqIFTercen7sWMiY79PZEu81+MVTAewX
OHHbflRdZMxHrjpac72IFnjxtu/n0DYqnJetPhzivOPZ0qxybQNdc8eC8XrkHBElrPfaM4Z5Tz3l
FptkjrsxxEPBJ7awqOEIPFiPvqIiOTMsSO5aJW9lmTlPXUd5FfRRox1iInDxHk1S9ztMJS9umRr3
2pB0X1f07JNnZ/uxMqFRMBe55kPUQucToKd6lre3sXR8Q8+qJhj0enlQpbV+FGgJV+PFtRXgrk2M
m3aIKbjnKoNzMMu1HverHhdXXuq1/X4WFcvX9HQsXnttbW68VOpNCJAIVBQRvVoFxMSKx2YBX/N1
s6CbdDVaEoInSvssenZEMK1dlIS402LjNCAjzX4XF+KqrQ3c61NSLTnxEui4eCeRx+BWuNqNWIPz
ohl1w6pJIAZdPXrWVuzeqyTEoZir8gO+CeEB5HYbR2J+8UZuu6ZLXbkzYBtflzzmvqkvfti4sttA
iKI6lXo+PnasKU78fMk5C3IoRyWEddvi/2h94VnpfhirYsMuOoxFKTxrsW9Y+/JkFFl3Ap2Ov9oZ
T+/N2pPye5fNinQ+aSVjtIObnbaDGSfvc61R2KUERo3ogsbA5ZE3jwoai2mFFArIlMoW6hXBlug6
J/+o7aQ9WrBMVoDcuFI3xeW3ZqxGD5OiNcc7RsZuHRaZjAOZT+NGjPF0TYCExr4w00r9Ma7y6aEm
xfuXLIRZhFjYWQzUekUDeGtG9ZGSOR+oQWAKmH/qdRpmlnCyYI24VgM2gHcvLDWTN+VoVoEnlfaV
RlSWT27aaXo4sRoOVx41VghKyYoRyWPQ/UaPZDEaWK0dIB6XZ/ICyqK/90OOjdGs0o1QWbv1hqQJ
k851NI5wStvKUHxLWsxm7whwaIaM1NMhWQX9sYHPKR+rebCQc0W9bkbRRPfFoumP8ZLxjjrmJMdN
ialzQh5M0zt9YPIAQWWOeCPh87STYAjy5owQxvuYdY7ZlbCiNXBjjhyoUavY1Ca8GgtS2uE2UlkM
a8kxF47xbPScF4qFL6xK5UrE4gvZhPFjevKWtVk5rwwV+R3vvCKPVDh3+QzqFuRLWTQBUZN1HTrL
yA9i2gnoe2NqPABWCRqb1HCeQaJRQRyUawomTYVy6FwEa8UMqeZT1it9z8W8aoehNOLDPFe1CmCc
vW5vamyU3faN7e0BM9WHM3vNSzm01Z029grfLjLVt0wAzvqVtAn6mNPBrUK+RV8E45BCLpciy/ad
jXLuK3h4AjouYyvfhUe6jUpz8OHHivSWdnShQGgt643tlDzoUEXrx6Vyu6tKh9VHoJmzDlyWo5U+
gC2qo4yL69mp1L3lJuPztFTeMVtiz4JR0db7tEDK92MX0O8qQ/F7HFfdJf0/zXgc4Upq6v3sDO6n
nMSyL6zYuMbMCfBdaVOFxIBu2DDsAL0P3VG6vqHmJLoRSzovezGktXe7uM44+hoA95Vmtd6rYy/2
XWoSkG2laqYZLe6HwlM4dxkVhlFpKDYdwLVH8ajtU5VTfg/ze1rnMHI1Z6aJlmB9BTx08yA2V/el
V4P1vauhEhIxV2+ZtmIZqBpUZH2mbeCMgYRjrdoDAu4A0TZAdi5s4AnG2VT3WlPKo9FI3dyNVulQ
2ztJmOdp6xO7EzPrI7rDH9bYy32BlzkAlGQMJiMQ2GaNWl+PTede5FqRfU2MPj47YzYFTpWs+7nQ
IU9rjwFbUk+WEVxsoLs0pi31XcPsWVUcTyfmEjF2a2fqN6VUi9wYqZLXY6O130bE3g98Jslr0i2P
msGDFe9QLBRAcVtt1VwL1EfCOyk9JD7zlrOopfKidTuIsnfeGy2pdQLycxM3Z5oeDLHYO7ON3DsB
bAFnqYzH3LHqr7bBpO3aSpvxu+PKcqI2yMzixumTNg+TdNKcrW2uGQQRSsAGfbcy9kx75/fYjL0P
hnNqfMYiUqqdUxnVR2Nbens3RaaUl2xX5A5RAJCflWfwNsb4dBdfkIj7YcU51mtPYAQ5RHqOfsZ8
lUEam24L74jePz4wvFwxlmGUf5i8rrIO1ewU6z0exHvgu6w62m0zMvfypuVukRZx1NaaXBkgUHtl
s3s9SOa237VsFQl61snV2CKSuQrMJuI2oRAnuWFtk0Phxu6xTDW1j7zJutEFU0Agxamix5yHAGNP
vvEu8xg/owb5aIU1P9mlTDas4jRDiZuQKrpynzWtjBZSOHQXLZYhd/m2lHiadxy03uOiUvExYHSu
/Vi05Q3Os+Z5mPHVpxYZFEcrW/JzZ1YyD4jnMF5MHUuHQ6123fV2vPPyMSYurGidYmcXjgC8uwjY
81LXDfG5tfjGAzIPeWS5GctHGX33Ufdmtk2UIH/mOdgitA1Mf9O8GDS/GtlNicTFTOTeFGhqKZ+b
eIgf4eJd5p4OplWdevFhavLZdrmSG/PLio8rQEvMp289y7h9oQlO4whrHDX5mzGvTgA68JBmpnHQ
TIuTv59tyzs2lus5dOTGuJ4zA50CoQTf+7WqRov8nEmTqa+JwVJ7s0ZgYKSuCsmZJ0fSRo3Sjbeq
GS7z48aaT8Pq9o/4bks7YIeL+aBSzH4hsRIxcRtZfd8uKChc++t+HVfiUzKXx3xYrsNwqzAnBIDV
9YlVANbW1KgKVC4+BYRGh70AESZp3dQ+dGm3JC/wp1jyPLOOcPPWeElRT3RcvKR03YppDtkHWfvz
wOincRKUj8KrNpbuYJXocK0O02Wi1q3EZiS5bD3fSmz7upm9/n5iQQnbl03UTN7bQ1nObQb2XmaY
pTRPc0KSRZTa6E5iZYEY/4u9M1mOG0uz9Kuk9R4yTPcCWPSiAIfPpDtHUdzASFHCPM94+v7AjIxS
yiorOxdVVtbWZrGICImk0wG/+IdzvqMo36IO5MkxYfzjuL2RW0+jMUh1UySmBuyhGcrvamZbjB14
0N7iLqA5K62V09WSIP0Qz1OQsXd1Ei6hWL6x9h9fdV6F3CRjpGpgFXKmPibzi51pNNMrY06GpLGW
mpc4MtRHClxO2ASw1RZ5a3QMkDv8yIN63hJKnh0aLVji/eCU5g1Ngx1AsoDnmpSVQW467cyGImOx
2Is5feMt6TS9Mo1hhKQjZNW5ioGfZ0gsPMhZS8d23UgTnw8zTkPkIsM7H195bnE8opzTVJ7ug1kw
gWRqVW2GKNuODH9Z5bBRvugqxZAfkHys4f2IQL3REasozGMloauivZEeTe5CFl6qv4qOB5i3dD39
K/sFk/ULEaIpjZIj56cmaDVzr3QkBW9jsA4fQ92Iw4DV61tOruqmjUSzTyuO+UU3Gshos+SsgfDh
NwX2rRwTHjtDRoGFN089dspcl+2rqdQsFa1B7KTWRM9NbGf2Bmt1lG6DJJN3S8P2+1iXeqBuWieQ
ATSoQrLRm5wEXXGYUFDqIXUN1qjpYlcIwTyU8c5H7Bj2g9GGTxgXG7ZAiXRcWM85t+5ibQ0rVnfs
sezj3IJ8QSlYHPBjV1drqNVNhTgHUM8ssswn16m9byDIuQb0J4ABRdx+T7pIdltHd7pmb3U4/2jZ
uw8i6ofL1CQwN3LUTKkryjDkIT3N6pvZjeom4zr8xAO53A8RD3iqUXk2+0jeJRVLmDwKxhu8+ydm
4qLDJ4XaDDPrQPih/N72FDypDC031ovxxG7zIdZrddcmGRXvII2vyxJ9cLtNvMexcHsZf2SQDg5t
YDB+jm3e74QKedLkrZkr1TEXLS9oKKsr7g4eoPCaXqkpyJ3j8JMPZvqm6kIgnwgEhX5hbKBuF75m
luKQskt+IOtN3UFqQzzoMNQtW2OnxYX10WeKtg+YHgOTSvdLYbMikH2abODeFtskb4yHRtPmk7XY
6uoVKk6Yp8e3vqmCjRmkeQ7gYFYnhCslXAsOyfH70sseFV+q1V4bCPvYpQhAXOhfSYaCQKnfRIow
xl8kvo25N5o92mbNT6Vh7ZKkGvdVMNPuDxUjZ9uYb6UwReOKMQOWg+7Pce2xW37MSYukPaWCRP2U
248zrIjzrDMOlm1h0hNntjdWqbrRqeR/oINods1KfeVh8lJjStHcpRT9TSs5RDuU5olXoYILdnnp
hHui2XZ1xhS7gA7jakbF8COVVfdEuVszoJjbyps+e46pCjd1K9KfthE5B9GUy/04J8s3xvryviih
AeKJJOux1s2ZBREyeEa3HJdMbnaixH6kh9UOF5m89EDZ+IUmUES6wNix0wE5bY2+DLwQN8B5yOhP
e8usX8ZGPQHeYQ2nCkvc447u9nXeTIy8TQZHapTbXlqkL3VmqC+BmlebrG+a29EAAGMWs76t1tyk
rAXlj9SSyOxZXKNaSB/DW3ys2GoDQev3xmTdEhQ1IlmzzNMsdI1Cylk2ujBQdrA6okce4nPThoo/
8DDeSkelvCNi/cxBlfh8ZOyvhVLDHw0bJNyFgSxE18LHmXyiYRerw/SIIaBlacpe0K0hJ1zs0LKl
GyYS7FuGwIkTd0a0UmTbuVt3eNjQdPamSdX5TNMOcxC135TEVh8FyHmFXmVpn5YBI6MepsbXmqyS
nZWnaFagVe4ryfVvirDzrZYFz7GeRsqQMRo3gxCCOmdJrXdkHm9S4ReZSo15QbfkP5DjBUz30/K+
XsaRcihQbjNc974ZjF+7hAdrr+XFJswiEuwF5iEvyab7qMys20pganQ72gF2UhHtjRuMIj5BUC8O
FgayH2pnXLFnj147KQsFWTBfpTlLf2L552mEEYMVGpgfKYQsg8U5yGlhNjWXi3yWei6+CVhAahvx
JAn7+GTVXbWb6Td8OEhFfBtMYn5f4sx4StNJ/Tk2vUI/4Ihrj6cazdnS3VbKnI430VBF1NRKtM+X
7HstNL31FaOd9pTe88/ITvJr2gp9Xw9D7TdqjrJVZXdv9nOxHWz8MO5M8BqV1CJCnXLYUrAJJvEy
stcZ+zv8S5jsRKHx0Puvkev+P7dW0FRN15nK/mebhc2PLIp/3Sn8+xf9da1gWUh4nVW6y9T+Dwnv
H2sF+QWqGnGsFgpew9bXhcPfxL32F9u2DLh32ue+Qf9F3Gt/MVV2DY7KTkHjO+r/ylphVQn/4gLh
l7N1S3dMU5MGqXSO/ZtHIy4ExEkH1kncrKvSeqyhNDGeeomGbrhA/3zslUa5L4wOnxsUq+rE5gBM
Gd1vis8syb7laTO8YZWKD0Hq9D5NjfAW6jgXn3BH8RyLu0mqfFixGeHoGqtrCLnhB8bC97FvgZgu
juLXyKtYNZvltXLG4JHqEsBurbVfDcSZb6WN4goFJZbdIE2vcynu0zIbTqS+w0805PhsJFL11WQJ
3BDyysahxnooS+cFzzyDqBHMapHWKHgUZdypFNMIlfV407YVTqy5flBzI1rpuyUo9M65ryYl3fR9
Vz+Yuan4bYjBLhxbgBlNJ/ag6eodEJPxK44ZOHp6kP0EiVGcB4PxoS1z5qhz2733bBMek16nqSem
Ho+yZPnOnsFC0pFPisaOMtBe0wSuhUQsjWfSds6jNo1wLhYsul6LRvDVQAtBrqMjmDzCw1W/lTTM
rhpUiGBsMm9Kl7HxjegGPO0zstNnW8naU1RzXHqGzcnmLjic/6BS//9N4z/R+WvwQRjvrbnk/3jb
+NRh+3tLo7fi4+9Ohn//2j82jtoX1UQQz3dErs92kb3iH0cD4n6LUa6qaZbG1PPPg8HQvpjS0nXH
xoVvOKwE/9w36vYX/oAFJQeHajKHEf/KwQC94beTgUUjP15YKosp2zHV9eT4xXgDk3YV0kh9FyZQ
/HdWBi/KU0Wp7MCviLcWYtadNqtUFZSAXpgukKtVlkz61jDBgI3CGs900rGXAkVg242rPaqe+qUg
dWxYPIssrE0k6+xgsUl5j+K+O6hJbMDq6aBR0+kV62TcFstBAfCdejb9yX3AR35bdDWaT1pRN6up
y5Ki51UwhIzcRIK3BO4BRbJqfoTNMHuAR/CTMkp1NjBFbTC6aOtDmxXSvHKJFKuHt6bz8Te7PPZb
lnBI9TXHcyJWQjV63V2UGM5HkksYtKKe1S2qJHNH2ak+WEscXxj41MCXdGuTG1NqubQ1DP80sL+q
gyFYhxuio/sPy9iN9OYtszVe6BhmyS63azN3sSJQm0TmAARJ9AjkqJtg2VTldbDN6h0vfH1rpurZ
XCRrFvUGBhE1rJntF6ZBw2CdFjHfRUoPGM3s1x3UjcKV20Bc7LY0nbuFVdhhhMzQbUtFZkxFlby6
qWx0W5soDeRjJyw5sXca6Cfh/90x+D81K+KqsmHEwwpjQ2WXdr+N8tmBpO006uAWQDbeFEOZIeE1
aNUTAJjJYldXfKR96S26Ih/pCupjk8wtI2JFvUE0ndUe1RjzVbtLVRAKWnqQ+WTtB5Bce3Y+wxOg
WKm5FeoJxuLLwAxO0c4s65VDqdfK9xaotQd6TMfTz0QGuOpofYU8qYNx5pBD7AQlUPKO+AHitI9Y
EtGhclfunai02EbSEu9gMRevg9DlxSrhfWaamrw3VfkNmZj1zXHIOrLyIr2Hqjpc0brI5zJmk1rF
kXou4to6A6CnIdGYA+PbOAewRs4Dvml0ZIayd5jDE2tt6neWQm/LjjmHU2Om3NEibXNXC/pbFi3p
DcwquGNZqsN7t3LtPKOmpH7TEuu5Aw6ne6BdAN/V8fwAe2065GOrXXWNxS1BO9XwZggQyDCLTAaa
bbIb0qV7HfNgPAcwGPYOCtXHVrVxAthjOV4MJWleM7ajsD6hxtQMtxVR3zroABkJETjdbEzNgmMF
+NKHcGqjDcPcyGwjnXbFAsHdK4Qcr4OUOR4ypRlxkHAp6nRiyNmGlFEuLLjytISsUox2yI9WwtRG
iVX7wnGhmS7Bl/FtEmHYtRczu9Jgdmd46uoV/a9Ni26J+cFZStTXacdm2yQR4rvq6CGoVYjOdDWJ
vh3wlPrxRFnvGpqFppFHce9hbis1fmiRXPTFKG4C9OrXthl7v6NN97tMyzbIM6a9ZY0Wj25lrO7s
agwuOASqM60cCKGqm9gMWTZIIsbCjUuucXzWk0DfWuUsoXa30wkoQLRTMRyd6fYp6PMsfxVVRtxe
x7LKYPz9VAGGYi+OcOtRa3L9XdOXcheMtQMiv24eRFFNG3CmeMwyFhlWrPHZmsc8vYUfMd7ZvTbd
zUKAMLFxgXmVY1kAO8GIWd1eqVUmK+UQIU8L1L2TiuHY0QRcAZzl15g29bkmCPoZYFdJFHwVLkgb
Sn0fLLbyYM29fkE+K57x1SuC9eyYnLoxwe0EMuIkVIdbujCMn8iFWdtqY/WMu0TbKNXUPMcRA0xG
bj0TGCtbfEOb5TYxHW2nJyk87JbAPzJH6MDNJmGX0+rhg2nlwTaKbDpGwx5ntIyFcQ5z5mpzLsXO
djqbVQaE2RCB+SFpeuelWE3JYCb7+9ppgiv/CcOogzsWj1qOJQLOdqcX9S0zsv4WT1rxjv1j2Jqa
nr8S8+m8OnaeX3sJQl+fFLQxS6pzt8vOR6xrSKLAcOI05Jz7Wp3npieyNGLVlfXHii3lZuzt5mAu
Wn6tajYASRp/15vJBiTSHqEEccbzVMuD8rUylhqQVG/dw3jzwhxYJjk94SPJFMMPZonjRjbGtOsa
XGyu1eu15st5WcfVlM+R25jjCDDckKHXNUZFtrrSeYupJivhPvQyu+ETqerFXiSxjapNuKbxgq/i
KPpYuQGKvs9Du3CtOLyZlKbZc1T72ky1lyd5vQftQChRozGDmjJ0/ohWYhSQ+ASzY0oRr7pck9yN
CDG0QZP20zbtEqgzfbL+Liyu/WZCpRM1zatK57IfQFmRogYkFT2fKsaHBnfYpmdB5Ov1KLb4Aod7
Q2nABPZh6ewnFv9kGNqSSenkkBx9j/qa+ybv26va8jyreiNliaJX77U958ep4u0puOcfc4pw7tjK
vIlaxsKYxauN1hbzSQOMR7DbspfDtOyKUc9etCn4SHloIdV+iyar3Y95RgxBoewZjbqdCfFOlMGB
3qr0Jqg194yP+qOZlOqDScYAYQJKMl0iq5g7V7cFHEeB9HaD7V8DvhrD5gSu/nMKGnnU9LJ55vNR
ny27YmKzgF8iWqL8yDvmkLZewVzUq+WtiVj8qVFxDRALuxk2Dz8c8uCBC5DznuogbOq0sd9saJK+
2dYRiPoJnX02M3tuJ21XqUt5zRhqn9s4zl+Abw/+ANlBRZgyDKCnAF7tAWujeHWk6vzMwZx6gaI4
2zFNTWTXRgNmNLTH2NfsQprEasfRgYAG5d6Cxhszr0PYiU6nVz2A8DLbQSIs76kv4uKGABCFVHQ4
46v7hwSLA4iZxd7odZ1AEoHcfgQalt0FnRH/yDlxIFyaEhnKBGejNWT8ZOR54ieUu56datrjihXZ
TmhSOv7bMvY5LrGtkeiWC+1A9Y11jlXberxXyVhet2TVfTuOF4VpdAFvdkXFH5pyKjf9hFvRVhnr
AL/Q6IlAjTdI8D/GeJp+jhWubaZ9r1Y2vMlqgFgrzLCEfRJK/EJ9t18YuHkFELazZTD0Rg4/nBYT
NlEZzJZnrXqvMePx1Kq9cWTi9KgvY35q9TH19V4hwKApWtQPFtO8qg03IhPFNsKfeUqKYrwwloGr
Bwf4oUtzbABCY3ugF/JGQqn6AO9pbPmMhrsiWgwuQ58/xqKUN7Fhh1cVnPiuXYZui1xc82SUyYcQ
wd0ZWBeOhEQHwCXMDqWLPiA4BZiJ9wAp7KHBw/SuJcPkw4EJrnnc0DyOpeU1HFFuCd0MUnPMji8L
DD+sFZbl5PPF+NDYDUXMw4W/MFzzRToorDrj0fKjQI22SWcFIdXVqBxYVJkny24GX2smc5/DTXwI
OgdneKWKm56MlD1mwHSXspd8Zk5eujgwjH0qh/EQZ0F5tZgla4zciXcDaqzEL4QDMkIdWb+phtFt
2K2HF5PpOKKPxXzmQZfx+WtsugNgdL452ukx1nJ7bwUdyahhVfy0ixSROxqIpyEt8p3s4GjWmKf3
S2qKg1PP5tZKAvVQIDlDjRI4PGrmoljda4zq6frPrdrdCbXdUqeq59RaElJKmq+48Tf1aEa3w6x8
K6CpuAaioycmotBMbaSMcUnTUkmLBaCuTkfkPoxGgyJnimAiY+mZrXoYFpXS5caQGXvhbLxXUyEf
VXMRmxk/IL/BZLnsi4J/ElUOPvGf9Gk0kb/2aYptL/Ba42g/jX3mKoZgVDIAyZkcO97qIoEHRyzL
E9q16RFPhvMy20N10eF2nnD71N/IK0DoM1DgI0PUESv1c/U4Gc6yVYUCL9xK4w1oJuVaYHmJ+NDG
KO1NroDqOUSZeUrAltKUjqJQ1BTAvMGW7KrBMhmEpyfbjpXvGCHCjQHD5IKStN2zoX7u65YNcFcJ
VnGO9qL3vXXqNNF5SY1+x+K1e0XKNtSEhA16C2TlJq/t5QDDy3qlUg93BAknLtjlt3Jg2Nr1DyYV
ijszld84jj5vxBLNd0NfnNEILed4QG8qUijhrqo1TkhXGkVym034pRBpNOIDIV4MDdkMu5USSVHo
D4pWfl30VbJfxTZA7iaSwzmwLGKWaqpdhs66vGPPM1z+iuOdOA5u5ijVf4hejT+qAGlChZTeH7tI
v0cMMzuuEkFHDaSh+qTdyBNWVGUvdILh22RB7KfbxPn4c6lOP4Z2emmjpd4WUK63ZpNnWzHVoEFD
eidZCYP12xLfMO22kSbmTWe5PZBity8JiDC1Jb4sCPm2RVTowIRzeSUBCgGfAa/jng+6c5icaTzo
pTkcltUbq8Vz+7OKOkpBgFzTY5SPQvF66gVGzHXRW56tKSUQLurs4bPkzj7Lb32txHkKU5SzWmp9
3kh9q9LLwyomDfRirJW88VnU22t9D4OPSl9NnInzgfofWnl3dtaeIF27g2ztE3r8TqYLXs6+MDLU
cB457WO+NhgrbdME/DlxgZq1BTE+u5F+bUzytUXJP7uVYG1cxgZDfC5H3bNhZIPph2zmw5xpXeez
5bE/2x/AlUW172oL+n8D6HJC7erPZpVwwVNuXCdl4xUCV36rChY3jp0U7KWH7mqy2NzNzPoWDjH6
LSRmDxW+hU2mVPeKHsf7SuENM/Ds35OfZXolW3UPX9KkuCWl8JG8lPo0RDRpZhN0+DqTvvIghGgh
ngI8nBHa7a8YaoSHVMu4OvZoPddcg9lV15YR4tfkpZ99ZLqSlaO0Y1JAk4mPHYnzZ+cpP7tQZ21I
Kw3TWL02qf3arvYa+G38aOdqbWUhT3PZ1/aWF7k2urS8zdr8ZmsbLNeG2F5bY6GE9rfCrL9NbUIy
8NpA92srzaaveAXDV+zsz04bdvy8RyPZ+Eh/4w+0x/Tk2dqe52ujPqwte7c272i+qdg+O/pmbe5x
5infl7XhTzik8wDPVzeg9UbUsE4GoGcOT/06LhDr4EDvemfzy6zuD/7FX4o+v5Zx0bX/+3+ZK87i
V529BvDCYSAuGb+h67Cdvz9Q0UMYNAm1sps72zwWaXzo9ADrx6w4vq5Tp+uOIa6q2THCJWSEPXvc
i92gW9o3QO7E7jSlFX7MmHKPeWbOJ8XW2qvNNO+FwqB8Nuzq3MegRnvVWSqKp/G+yRGpuaygU65p
YoBOteZ0T1RJSyvQoZDayFABe2bjbPW7mVeF4BJ/Ee6T4q1Z+gybCrzk0F3Wgyz9PNOSz/Nt+Tzr
zM9zD7QDpNn1MPzP37BPLNbfvWGfk0KKaVYJaLYE+JJfn0AO60mI3LO9y13rYXkxXuo35aW+H2/b
O2A9xUXJ/hk7Z70Ev/1ETTVZnOAK5qi0fvuJIwOWnAydYDdIO3jPyjbuPFT88y2S3kX3qKSrUzPX
nfRYU0TvGls4Hyty+nPRxOrpndGUw3qYuZaYHid/Qa7SeXpZWepuEYHyte0q+ShhAmFeKMpRw8pl
2anfpXOzn+qyPhv56kUjkeZAJcP5xDgFmZ1930+LvRsoPxk25Mk2M7V6O7cASDD5Lq9yTIJDOwbZ
YajBunVzpjzl8dicexyfd1EOg1Qn1mQ5QYOrHiIAiG/miHxpk43TuAHC3zybobGeX7meff28jP9t
I/31B/1J8vmfQeX5YxfHZPsfD+s3b/lb8RdG9X/ZxP3fjev/uv3ji/9Y5OlfHIJUVQ2uK7I2Kpo/
p/XqF2buEpUYrhxsaQ63498WeeoX/sRiLE92iKbbDt/ub5Qe9YuBv81xhMrBJXTjX/IHOb+fWgIL
EnxQjX9MzRbqOs7/ZVxfNUjVzEIzV4Hoz96St1YjdpV0HpOgosJJND+bkX8NSvAYhzwMFglWJNz1
zmu01o2aEp6CaIGqL3dVLLaaovjJeUmaYzcKb7Jor7F9RKP6XOvGLsUjXy1ilyzNXq28Mgp8M8P+
1lAHYzcZ+VpIDKhk9yYDfmQnd7IRt0Iau7E278xAuwXaSkjL+xRG27lyqMPrB5qZh2UielIahB+W
2EYZznbvS/Yww7lIIHoLIBuWOd5YlX3o0UBolXlbmNNzhdq86oqrFFBj53mXQQpLmg6vTvDIlJwU
xsB8bGW4b8bkksMWdaG45W6LOmuBkOImYXbXhdaelUKCdmR47RrnEZkz2ELeMmRfOyOQh1pJEVnB
r+6MTV3lZzPJ/F/uvP/g0aOtF+nXc+3zIloqHi1uJu6a3841EKh6G+Hv9rO63iDqcnMrP4djfRHz
fEHo2bpRBEF6sXylFwh9xD+DrP3eTAjWykClVCnY+rBc/q2ZIBHQLh0w0b5SoIqo4rPdN/ArM80d
mNH4JH9eOEblrg+Wa1Ivz0MRg7jRBB2jNMDeuD9mo2u2i2ykN6RGvLW0ICdMdDmTq7AnLir1IPNh
B16nKAvyW1OgFGOoQ2UMUA98HHqR0WC8gOyV9J4ALJljnGoqLTeyApVmS/8+j6uGdlruKLJ3Sxuj
TtS1r0atnwJrurGT/lTUUX0s6yo8/etn5P+dzOEf/q3/icekWM+yf3xE/lvxETVvf7k2bx8/2ujv
zsjPr/xjm2l+sSQBiMJBpoRVcQ28/1PowC3FrlDjvsa3+AvFTHO+UGhRHf+56PybexLP5apycPh2
ci3I/pVl5m+8Tc5kfgRDKc1xbClsIX/bZUpEPoMGKGKLYQq8UtTb9uNisSTciNKRF9MifnFDt0ev
pU7lluj4xM+6UGx+edv+g8831dDvLDVeBrRmB20H9hzD/nylvxzTqhhkrMyO7pcalOnUnnuQS05w
GMJcf+zT2DlPEm8LQEBGzaTklf3extXOqY7UgP8VbxUtLXcl8IFXTCq43yPsIITpwLrJwUdCvSH+
btHx5c3A4G+jJI6wQuFK8E28LndRCwwYZ0vBzJrkVaVWmNBNYcYnvknHjSGs2S9CQr7AyY4vGuMI
+M547n3QIM4J1SJ+H2rP1Ev4+3wK+0k7NIGc3kqC+7w+MW/BHSv7lXGE+7DtjDdVqNkN42fMEF2d
9Qvqufo0yc6LyQ14Zxa0fGhpIx4dbgLWqgZbjXQEkIHaMcGGlcYk5Izle2fZ7YHhfnOJzE47qqWm
byTRtkjizO4aSgOtZKHPiECMY1biSkHP6+a9DJ8QrFAgJ4gDyczT5IsGk4PkWVV/ikZH2fbggQEK
GYG7oDU/11GobPkr6g4Xh9yUY9TsW1N1zqFijAf20fB552xbzOG8qc26P8HLoF+NzdCvxrry2ScD
eu5Zpmxna2S80ZkzGzvZPYparTZOXBobK6yjB8JyxQuSzwDaIpxeg0jkfdUaC79afWVUMNO5KuMN
9J7ksR8n5es4EmyUiCbY66apuk2pIysv6U2NpRk+6jyxfZmnxR1STY7iQCo9FIG8OcahYW7gVmzb
abwxo3rPnPxk10w/wgnnxqBaF8tAhQJALtS8hTNVzwudYRAxIRb0q10KE8RtW7myyGGQyUjZFAF2
jxZZTCvba9bH0s2ioGbb0RYbEn3jvTGY0abqoH9Vadq9xMAedkXbsRkmucKbC0V5t1ij+PZQzLe5
ILfUGbmfYm6rLeyL1K+MNl//TX6ETefsSA4ImcUoeuEq2jDfhCasrywqtTt1MrRrnw/TRa1wcdTV
MKEpQhFJBsCFME8Sv/J+2VVh191lmZC7LDOXO7MLiP1aWMvmEAW9AYjzNZ3j4oIqIwRCFQsf/4Fk
0KOzKYpAlEGj170BscK+HKvqOWNMztW0sDexR/LZg/w0IE742ujkj0Q4YyyE373he5TMUGq5HyaH
pyBD+EMpOntXFKGOhH2GIVbmGANzxXH8JlSB5JGhuWkgmewb8nn8NET7u7NYx8F2sxuB94FMRo4I
yWetTeW6o0PcXuRzvk8AeR5nHpR0y5O8ELFq3A8TSNOivZ2qBVH7UIobuzTnXcKsDjWS1G5CO7o4
HDI+9chF7XMvi8jnDNWiPw2aEX+fyyb6mYfYXFZHL9rmJTjP2qheFsuoX0JO/T25bfLYsKW4KUaz
OyzFILaKZckLXnPVq4mOug8JVHvTKzs+ygQRVTf2/ffGzOp7TmabIKiyedVrRAwaM1wiCGROMBTs
/mKd58v0YJtUodz8a/xS3887sdT5uCEUkQiQtqr7bRCl4xbWg13dFghOik3fhMlNj596E7Ht2SYh
G9oII1yxcsciD9O41bHfUI0MftJgdGiQR7kZ4uCZ4EQ8amReL8iEMba6xDdynWn1O6I2Nbu/I+6M
OS9Ws+a5rSuYLloAiqxrcvAkEne0QWAfZ9q8a+e+OI5zHn2rNGQvq4uRz3W0alUZscIIAkoWejoZ
csY5qlJxtAB3m75ROT9mYrLDQ1UUtT/SHh5t8jRfzNhhpZGU5MoOHWF3BQklu4IqdWEu5VQ/4zKd
K7AuTffTagEDsgrvXhD49Shzy0sRKQh2x3ZfKKpGmjjZ0jbI28WtVhPGGtjCJlJdzG/kruANYKJQ
vph5kxEoO/MDsNscgpEIKcajxSHSgzFDlbempXd1kF2x6A/aDgmCOR1YfwzOGaCglv6Qimj7ey3J
zYewKo1p21VK9dbyUXgLAr14LrNIuSEgvYjcoOQBzcqBn5Y7y/hUQftSeEgF5nM4DC9p7iin2RZT
cEKGTbOBJEl6Auel99fgdbne/8RoGPd/TV9nR0PIBuL9n9qsi3seha19GK0kS+66ti0P5PvFD31T
UxLg9ZYboqt0cTvkTv0zzFtmtFFsya9FPRkUnfZ86ADo7+aYuS0+UfuHkzOhwFGjJvj9NXEOEnOK
XBqx+kGPhLwpJt7VNIWsMmg1ELFWqeU9kpv6W27K+t7ktH6Y87pGwqQM2xAZBYkiJGBKPG/2dGMw
ltivwAXE1NQuI25jZmHMAOkRMgajWmAlxyG9V5wB0RLrQdfEhIv+idWplzhqrX4tnSb+NgpUiG5T
xQso0SyETgfFRLwCqqyLC2r7hKFSXKx4gcxW/UxTmhbDiqPdaYWB94HW8C4axfiSYft+ghJoPJSd
lh8drYXKbDDVDzIlfCqgXx6oalIiJAa+BbXWmMDBaYZNNsUjaeR6d6K5JmDEsZU7MeslZu8e6MK4
lKTLTPqW1B1lDfkKhqcG3BIeZ9pIPMNFOt3Oaa53/kJWHFviCP4/m/dy2ifa2G/GMDwEbTm9Y1cb
N2WDMyvU8/bGMsKc2LVI84rcNDBdhbqHQ2mv56QNKs5kH6J8Wi59R0Byg2Oh8gxiA6nF7N00EX7N
oZrmxLSkQdlNpyooQIeRKtfre6udlvHYlkl0pJwp6TQJ44GjjJzKbPuISXLF832H5V67pjXWunGW
3ApLifcrYVN7z1dtRTLHu6ZfBZ+5KDYyU63TGK6Ig3IO803RNu1LFcgF8ZyYSZjUu21AMDCPIzhs
RS2YImtWxvpxCS8QLsQW+t58MDGonSWZ5yyD8RzFpluZPyL1MDXFi1T7t0Bg6DfSo269NFD+sD8P
AXFEwCDeqS/LLVsYRCrFNA9flWiur1kT47VKg4wpFLLD2zWSBhWH2stk06bOzlZwsoSgopC5Eq+S
4O/ZCTW2NxCmh/qWlOnIY8XOrLTPK3yAqjZf20nVyyP0PQG1Kh+ukYiUxh2g454wQqaPQ4+hTicE
ZieGNjskrUiuzDMNwmWqcv4xsJOxPJyyyVe7gwdWKGglNk7SWoYHuUFWSIIMOABlbkMlmNBkJIEr
MMW67Iqs6GC3U+whqx0JZ4eyuBfTaB6Wsqm2sm6Kc2H16m2CVEinvk2fpzIy9OOAwQAvnGYFeycI
aoAT7AHO/4e7M9ttHEm39QttNoJDcLiVqFmyZXlIO28I58SZDM5BPv351GfjoCq7ThX27UYDjQIq
s2RZYsQ/rPUtVN0wYM1F7nnLGHtH09iP9mh+G7rYxgJ41/i3UA+fOW0Swn0TQljCRKdR2LIUxDI3
HvM4OLe5v4VlBv2yK9UujqoYdKgkChDr0OcCrbNj0tkbRz/LPhngB0SkepAV5sUqfg6VFz/mnIrc
/n2JzVc797TGOZrD3BHVxQMogVhrFG9KpMGVC6451WJyTkFgkJnjWMPW0ezliRSNfsEULDa5aXuP
WqYWBbTH3riePJNTVBlvhrtwhuAVjPQ6YBuyy1XZbbxCNrdlch2wp71lP7TQJdZpsOhPmYFZmDnF
dxjSBENqEuRLDMcwp7qf7T1Ei/i+Bvqrqbg5Y0iFcjHBc0wPUUtRkE72yeYT2mRz7m1GV9Sviu3P
xuWiYR3fgEdMI4+NW5G8mUP70CCP2OJp7HZFbTE772huzq2M8xOB2t4dPlAM+5oeIwziBCqvg3LS
0cRHgHQ4FXXx6lrlTyPyH/sRc1huMmtpdC62aVJNByNFsdTiM6rBXq9cs18emdKU38e5HR5rqq8V
27/4nCx5smfGMR098xvQ5FVPbOcW9RRpB5jebcNJ6KWWKZyTudyaXEiwreI5YfAUx0B9hpkN6rSq
k4NO5TFBe4ad5pQvqXtBHGCeoNq0K5YEE+wHJfEdmSNR1RoQ3IQneNWN04viYdpigKyZtcxqLcA3
A2oD7BzPVLRRGzsnvx+Yw7FfP45CjZvezILQM3wwbDztp4FJIamzdWtSglYINYdCriET4nnROL5r
qfcR8a07cmqPft7vCHcNUbVi4Bn5Ts/rqZKAL9mNHLHmZOvWyvSphZMcAjes6bNqIFp30eM2g+qM
11kSTYONwAkJYt/fmY6NoIZYnNFfs1uCl+0iUYqWkvMPOgMSNlUb0ChnYnq7hN1j3ATvQipnRyS1
+YVkZjy8TVwclV6G0DTM+FIY0tnIKQCQMmbWV9/27S+ut6gbFXB26CMM6nkVQcqtlHEzxwGDwdLk
nJUSsS5w6eTc9lmC5K9ZMOCp6btpmrTQpkKj7PT1DztpJLvj/qyb7NSVEVt/EX0TmrvPntcLrN01
6i0kYgM5S+x9Vwq3+h6is8f+YAgukzsFz0Sl92EVA/REgFeFo1fZG0K4/VB66oy0yCRPvA5dAcnA
dugiRXlDBJJTJ1TtJxkC2P0NO1o7tPiHzrb2hKUZR4FTelOZU//QBz0wtSC/SYAWEonQynLah9r6
0gh9GcjuXmx/a/XuB3Thx2oS5j5P9DMQ0i2K4RuzyT3Spvu1hLYrQoe2pjT80sbBO5jm0BrTz5bB
xrpogc4gxSJtRw/lPuhh0nHNVGcnnyy+x219CHx0AVBdj7F2lpOL+X7jSb/Yl7m/c2a4NHgigF0K
kK9TX8Q7aMTPwia0wp/RF1gEn4bLSBwsX47aPQhJc0VKQ/7dtrKa/DOPmLF0qnAuD5yRCLn2cOTt
UPaF2EFPjrZ17kUnXSBZI88UraxJp7+qmsw7MxmPVr72wgWI06Et8mKXegdzSE4gHveLTYC1whr/
qpTXn4Xj2a9Y9u9ohbEPNtJiy7nDrsn0OY9mf1gzipTwoFL1ZkygFH2bFmVxmeKWS6BOYIrGZ+Vh
+4Ianc2SP0/YG/lNx75sflZathfIvQYKcV+Qx+bLo1B+2JBZsWXEpA6AqhHgojkPLdiNF5zsY8gq
QrBr5/3E9ZD3a4/QoXdkTM1hJM3wqgcEAZEYzZCMGVA+hdqMjRZbl2XiYEeCM69+txFr30by3ulw
dDA/lVggsb4YbrvtARrvprSqV9Mk+NUjDll74xRAQjWIpsQwcC5xbIeuctFbzZGPJ6a+xKlAy23+
dGygLN3iHYPgWQMCxjh+ndPiwPbz2xQPP+e4hW8qVE0hbjUah7IbN/sOj8uWa9NYT7LQYWYZSCeM
cgIMhgphBdhsz821z025R8EcTs4YTsInQyCAHglFpYo9BHh99BMdwINRyWAHGX0vDfOEbmJZUWtt
sdx9DNYUt2ttA+VruA5w5Ir5wY6Sj8G2CEOujTfIMvKxREf/CTdJ7fn3mIooWzwaiANKL7bakKie
dWBfarsJVQbv36uVe25gakCIt945wHH+ika+2eBTQ4PkzNCfzbfSc4lyR2u0hjWxpYZetypfzzVJ
ngLXEREL9SpgW0Pemg/Bo3R/5UhZ3SQ9lLleJ1P50rgp5SXxgGkz3o1TtodUFforoQ1FNb8byocV
M7PASKcIVXpBUOYzTXbHgjK9ZBGS2cDsr1NbUOrh/b8mnf2aEf619rRNimUhqBdNJkaeCWrG7tIt
yJp07aRWwSjPdB60drvQLxA2520WhSCyN1YnNm5b1+1amiOi7jPwnBOMo5THsXoeMjb6Y3WMgi7Y
pwh63SXQbdgN7POH2ixf4qbW70HVA1rEeVbQcGBT13sMI0hrFY7vTaHn+pD23bA1chcxkZlY+7wz
x2uzjPHXGBnmmicU81j3gvJvPV0thYu0+eEx53qZUto/k9L3kDAZ2lR6PGOOoKEmUn0rtOfvHVC5
9CZkKZSMW4ahVm82EJp9ns2AJFJIWRtTqWxV9SPMc6BaZ4uVG7HJSbQdvcV9XpIpXUdi0Zd6cTSz
TMttDq6bDWFr6DSsAn02cBqgRck0H5SId8qClOFZHsuQRtnp6yi188D3DCXifJ7dqDsTPLysasIH
BPdjZvkb/m5HurtjHAjcSDe1LWbgXov3XS1RB3AB8m6UPZdWnew8YNs78F/5m4GlO2xkex2QGq6y
VCDvxowWkhE2bGLueerk0WD4CvnaKtTNFSB6sJJt5sUDgSCA4hwWlcM/n6YPiHua0QGQFDeNnUsB
+zsk+N5gRFzk6k4T5zPbT9r2z16scKkzF1JeKDP+XAQmNUwqVDE8FD88Rl2Ecs7WtXIz/ZR1QPHD
/D4PD4RHAiuE1tyy4i/5IvNz59fVsbJJO9t0aQaewQA9h/d31hkA6ST/2mbku/a5Lbc1lSYFVT6Q
V8GNnC6CbVLrKcvgXJgL8xJIb8TE4c4ncuiNtwg9L1ImWo9NZ5jmSyClSX6ln4OEKeoyO+uOksyL
INuNkylIOI6JmQDGuyTQVlzvgZVwSiJk1+z5K/ZGWGl/ppe33lIwyAezd5tf+IkpHSOnO08tDVNl
2OLJqmT8aLi1vWsSlEUATCiATBeBdJxifw5HVcqzGPuwpfjDo4S0MmNKcQ5aaT0PpRUfi9myXjj4
Yce4drIbY0jSxPw1DUr90m7Y5EEqxjWlsGoloJsCE5bh7DSERMhmYBJWz1by6bucF8SqTfmrZfqX
AY4Ww8ypYuNXo6jQzs8oEPY3YZt1Elq+Hf2IirR8oQz5yIDa3XXOT9bQvVhBPobjfeA1LNO+X8jP
zamdT1oLvq6wH9e+W417XNnVp5Kpt/cVxEX4gmIz1vhBY8aDgC/y5UpEgAZyVhCxMqPD2KLs73m0
HAZ07kBLUZNmlmbqwc/tYY183wOe1L+OcwKNyGq/QI1s1m1aVrvcku7D0scpIcJd89WJ7w4ZEXnT
zpYD6JrBgQKuJI1NHL0kcDIOcGkodwYMZv5w0iRVc+Dp7Dhb3q+U8v+Ov+vDO/yLk0BLBa7LD17A
z3GZQHbR4dCb1dldouvgLVc3doOnxPPx/IyF2ta99b3C+b1qZWpfdElt3GaLfeoA7n2OBMyzOcXW
0Jv+3gU0Q9iE76znkY0p8anwecqoyA56tMw9ty6tsXVMqZpes8KUD5bJ16/yjPg4wDvY09hBnEfB
3acuJn4WU1uc7GeTQr3z+xGmFlPJzWgt3QH6uoEWVgcMMZyXRLm8XE40iNNCg0gMdwwH8lXnquXN
F2rdm/YjeEFxNj1QU34Ey970Y5riPA+YDLk5Oi99M62Wh7NF7+tNoIysKHiede+ckqp6FjxEcBZA
M49esNF98VIX2cNMeDuZN7AJNUY9WBK56SHhHBaxd6u232IRZplEIhJvvQ9GzuQJfsApqO0+YQrQ
IrebJ4J7ULdFWzNo1esMOOdHLT2mlmS3ryksFj5eCWibryGeNFVDgCcbArp6lV1QX0XXdlmW49xD
BcexUqxRAr7K2H1yu4xYHyf4dDPzVGAAw1vi7RzZUQrO9lNAXXTCNbNumzRMy/YNzvK7HGsGrZ1C
Qlujgs+fom5MQiSawXMLTX1tGXVxs0XdnhoExcAG3ORNWpm7z9uJkkZ3ddgThxsvyMGaRDkb/AjG
ruyDVTw8aXZNl3hKsmPGs/ZZ6iiN1oWnKLv7ltnLIHkCYrCO5gDUDiNxKTa+6o/x6PiQzduD6XKe
rhwJtMCfWQkSMGTkq8ybuU7KIiIpVzqCkaNb7eymDPgYSZB4E03i3AsgYk597CbfSByC4aLwBp75
j2bHyp9fe58RVWFY25rz7RLMReatDexn30FBQIB2s+kpnZbxgMQbgFlAaPldK2680PfbZM6a8g1e
BFkszNiTkIij7pFzoWt4107xFZLe+J2wUfo6hgbByFIoz+Vygv2U5kxvneFN9l36OBr67kjBM3UH
/k/JA+TzbF4tfUqZWSg7eIEP0h1Af2GCLzE4fkzCk6/Q1FE0Fh5zqiqGGMIk08FSwuqteIxJYcVi
XegAhmxc4gLz/NRRyP+99BWmdntgHUUZh1My3dJRO3tvQPRJMo+y+LNgf9ZBPo3vmVd9J1nBWPdz
/5223BhXTVpnoWis7wUFHwu3hYHVCgeff+gG4Z9GC+kb+z/+Fw6q6i4zQDlKSiHfK1BXYsW/Ft3F
sN3um11YKaG8VlQT3jTKHxkF+XYZHffgRzFGBMKQHgARYm0d2Qm37tRvVVrIp8G9O5KwNfFFaTw+
PZg89t4wopb9E471zGftw6SrQvNuY3uK5YAvVwPAQ3+0F7q9udphDVlEZrXOHITEGfCiS2+4+pnJ
WrJtMLgvcEQEvqymJAwmh1fP45eNpAG5OglRjshvdd308DIL0Rw7oyhfrT4wQ4up7N7TJHYUk5ET
7RThMFtNlr22G0S0I8AVYcf4rVqdbtko7pqJL3C8+J9VIuKt30TZlS9+s1lgoR8gzlqPYkw+g+6u
7E2paVfDNH44irTbjmCeDXSi65CMJFWqEriWIE81SohPcftyCZv5XaVh3omG6KL6gY0g3MOhMV9j
1YRYe9tdkPrLWzXCDtZx3W4Q+U6h1qa3igqwoRV4Uw1+dk8XmGw724huAx4VHir3q476ZN5kFW5M
EYztJcOwuNGMwG7YG0hwyMgmfmHZtGyTJIuepmpKt7029EdEJEOxMHTIg8h5rNq2fKtS7g7IbWLl
BUH6NEyBvRulW5TrFgQ9bCouhmUNQSE4pYwl6TryLHtJBtHfPIuFzwaGUjyuoTilJxkAPqItdcww
trmTJcLSaLH1s55zE67eMO4c8rCGnPxcNogEfNWsTu3R29xvao/GY+MFONYUggA4io140wMkBj10
gP/6sbgvZs0wS0Gl1lK90JlRpfROu/MBhl2yKRu35VykIUTRr+zfohOFSHbG7YIJrqGhmVPysqTi
qIWtAq+K3d+F3Av5xQMAc6ezbzGaz/uu7z3wXKo9qcVMt/nQiVsyWeOOJQNjzp6YB2Y3M7msKJWj
52TU7gPjSt5KxlLQayrnxGravPJbRc4GU0ZdsPfKNdu1CkP14hEykCh/OSMT9X7NUEaLHdsXekC2
bvo4tUG69p2Fbw+z1Jd4cYZHe1BXg2A1AqWaS6N79+AUxKsB2pP1Ka5ihnENiGb+QDsO20yZOUb5
+lczuWa1mlxWKl5tD0Rvuca2x/+zB6HI69WdsnYmhcLJuXOkyrn/zHFAm5tghLy5imWVvvH5fsUP
ku00QwSuLvbqqxiVOXuSKHSz7l04AJUSSIUpgZKQzVYOYzqGO+zvRAiGF6LvYg/uZsohMJK0NZ7m
RWO7xDrw0c/2fMUJzoygAeXXJzQGLWp+r5Id8WWu5LJhZ079D444vfXEVTMuzjr70Y45oftagDYN
tunE97eU86tZyPzHYpTpSxe03g82cMFZDuYxHTIbv1SLJ4VktqklyQsW8LoF7vOOSXF+rM0G0FVV
Yf/PTCMUOXjLKch6BGfE4hETlLqMgqkZvjMDpfOwGvsxtoQN6lUDaPOr8pHFvz7USRUg3oaVfsLV
yqOd9SyY8FRvqt74AI/dfg0S6g1Yn6M4MX3mtgHRkX2PGFbSJsDt3NmTmYGMlfBU6qH5wmDoI02W
b5MOCq5xt321raQ4pA1xPSuu0/TdpP/80s/EZXAKiXk/tdTp9Bod3ZQoUAfQs4RxkI4gnHX1hL9y
IfnDdx/7sgS1iVUZ+lgOfIFJXw/HIK6dbaUmNBnTKotgs0+9sZ5Jnf13g5MzltguXvvExstctWkN
gogkPb33DQuiXWL4O6PR1lPtiPGM290+9pxHN0Qexnph0h9StOtrIWMHmX4fvxOpZL82ObR4lO7g
Ve1CIOYwnHHXDff5uJG35kNmTcydBPhWFl59t54IH6lTiZjIi7kJ0mpm0D6m0AGguoRI8K2zGAqA
25WFyKdaXEuFNaD70G3cCuJ99yszU2DiNTlU0GeQM7Q5FmbLNl88ZvvrVJjBzuU0JbFrLs9GYV3l
WC3bzq3lypKL9zDDtqHf1/obMOcGBI0/3QGp0dTSIi2k/mFTu7GkDZ4tw9FXFtjuN8tPqpMxu+zV
KjEes9abl3UcF8Sn14mPB5UtI0LJ9445dI7vt10udqoxOg1pu+MqRe+SzsMj7Jgb1JD8rKm59hk0
jdCZ/De8Pgl2oSa9u7F09tqg17lOo5aA0AYnewPRxY7A8BfETemo1hiWL7iEKxxVEa4l4PiHLsl3
+HuSoyxTxpGR7x8z3FYK2lwIPdLfw1WrDswyxvWSqpInQk9H5LbLE5Jg5pst6vZ15M/Az6oW1Qeh
BV8M1775bfQaaDVdkzauQrx7OQMhbJNYiZKw1NlTwp4wRQ21d3ySMvBazKc5U0xeC1095DXsvKrN
Dzbl7BO8W+YGNFHnACMfQnxEXhflBfWeud93v1MvjpgJhmNh5BvyWDUlSxtSQId9FmnxjmXb23ZF
Geyk45SvJvkq6apnJ01SVnU0a3c4MRNAE+JIPPmm1WB14RflE/a7ok3G19qyqBYsH7r7kQ5tq3Gn
YhuTCHAHOiPrqAdkO6LBmpv3DAD0MFvkBsXsZRNHFE8c0yNUYAd/NjdHvWUnKU6DNf5Urcmsp4vR
tqZkSa1AQqsHzi25Rv81H9ETOGynY/0y9rGGFhFNe1jNyw2JZbFZ0oiRVGBWt4bi4jb1s4WlqVQw
00fI6Di6xxNo4W6dQDv55Wo7ehuJslolC00pE+moyXnywcGzXgq+VGkxY26rmRoktRHmlZXD45fJ
IZtgv5WJZz2ZqZs+2FXHoHxJinYN/7a/MhtIvhcT+2QY+BUMCgaRyB1M9zS7nfNu5pPmPFs6poZa
AmSdg3Y957pAt5WyT5BO8L2JAudIoRJ/Z0h4p1HeR1F2QxYmTXhJIzDIo9+/30dBX0SEKmsV1KL/
wDtnvTHdSD/Qpy2PzDbwuAaRsVnaIPuZGI55m7XL5iCqi5coi5INawHa+8q4U4CV94x0XmBybCRe
Oze5wV5f4rVyhuLYk//zqzbt8bniemUxM0ePTYD9Cu1EUe7LPnM2Biyn41DaNqQC7hqa50pcMXFP
H4xZ3Asrq4I8NxKj+Mo73SMbA+e5HGjAcW3lz3ltfMu6Fol8y/05FNExiTWiblu2j3GjzU+JrXBD
54wCo6oBrDpeaiAMakskNot16HJSVRnPjLdlYV28sqahDYvKU9ulZZChsmACGmGZv6zMj04odFS1
UgY8VtinQ3J1KQ62LOOiIwjGAnscHISVptWndWZawDbKuk2EJtyyAFBtjBDgpYrSZ25Xah5JL831
a+/bEm6znJL8BHFVv7oTMGsiSVg8GQVuLXBYbUiNnH8JSKRjGG1EyfvoeMzcgiKbGDsw317Q1XBE
pUa+9YTt4LfG6lIBWcc+xvau60t7HdByrgNU5mu2O/Mz07B+LyWxvdNyn70rMXS/ENfMa7+O5fPS
mMthhM665nMDDGOlwVHlhACNrOjXPKqEETuke2P/95grzC7uLWR5KV9LNtilfiDU6qlczB5lHFSJ
IYj8LWoyak7IsLuK1c1zN2pFx9zJvXAai67KNyegW+zef+E5lNwUS/WaJ/wOXAd4cFq49aEep+ih
zYYW3XyXHxOTnz9eEAqucs/x+ZWbPzlwjMsYgQzbuAVcZkJNCs6g/0IrlmWZVczbBKU/fHC//imb
OiI4MCo+in6GwJYiGX51C/YfEvXVdayi7GsedOODtFm6MKdFDIvLu+BEyqqn/7kY/uV/VYq3x9jS
snHW/P+18Lshg+3V/1EE///+1n/7hJx/oXG3A8eVtk1laPLf+786eNf/l4nbh/RLE4QYhp8/+IQQ
z5sWpGtqayTE0uUv/bcS3hL/Qhx/N4Q4loU/2/wf+YTuDpI/OkwEr+AHFDUCM5PHSO7PNiG8HSNq
eBIZe4lqYoWeav6SWK7+B4fe3Sfy55fxUe17xJJ7rsX7+u1lOhwmGcM3d+M6+fh1FIa/5eiI6Rb6
fNzFpRp3f/gU/kJab+Iu+I9XdCXPjBAiYCn+m3MlKJecUzeiszTvqjtVQltZDwZFzqry7Cos3TJ9
9lkO7/sIm94kAmPV8Le+VrNt7kQTZMfOTWxY/6O1gb+XHRlVTZcyXpazqXN1+Yef9245+P03xEdO
pjqeGyw/9w/qD0aAjGjZedIEXyMuK39MTArWQCb4/zyoWAaiQllNsedOKzjFP9paLD+Y405vc8wS
Rw41gU/DkL9WtWaIp2kB//7Hs/7ze+K7HiMjBIy2zXfybjf7w4/nBYjVM1JqNgNV3yVdTBaNoCtQ
HXRTQsmmPZCKpqpPRW+DXDMERN8YsRU/s79H5OwBR4zLx1mzOjfVQSTGk+ZCKVGk3kFtLvkLHzgk
8EpGDgGiDGG+DbGZ78q5Ube/fy/O725REQCj93iELNumrLwbU/74XnwYqVDfbLlRQ5GcZ9mCLdba
ikOt/IQ2nEP0vn+TG6Puph+VOzGHL8oqyNH/IVXWsA2eBq37Dxd6I1R8Bvplbsh3Tchn18mL1wJ7
o1odSXcxYvrDYTz0dYI/Pc4+lLwr8SL5DsDafugN0nCr+ZHUxnGv0AQe8rZwH4A1NmdUx/iBLaSW
+MtTE3xSiUaDFERvQ/TXfRM32STviOSH7xIhiZ4OTD1Q3uXSs9yBbc9pdGpLwSyMJXnQh/Wis/e/
/13+xa8S9wqHG0fR3W/4m5GmLaZMKRzpm0ra1sk2yuXHQqd1dlpb3Czd8X3FLoumnWSs6hpUURv+
/Q/w75Pjt+eGikA6tmfapu26vz3n6CW6XHaz3JhQvB9rkVfbOpvEXYm3A6n4y8gm/TjMKarkEkZA
uR/4oX+xgmy/OarpERpPpDxZ3N8HEkoKVE8MT1ZVhcSN6Ed1pQ5mb4pUVJ9iVc4/gmEynwcVsVko
tPGOhz4+Y56MITUprtg5Fvrs50O27QdX/MM3l6P9Pw4Jjob7nYSfSvIs/vmbq3zEWd79KezyZnzA
IgTKkM/WQRZet1cazGDbmCQCRWaxPLWNH5/oIgT5rz7sNnNx/FdJQM/PdorF97//HP7igPdxvfh3
cqUrcFX9+Scr4rkcC4m/ZfItubbb+lcyoj3t2Xh5evwHyMlf/Bp8J4B6KQSWKe6UP79YzQVFd97L
DQRk713Uc30/RrLHv39Lf3Ei/+lVfjsmCj9L3c5mhY9vMf0pSFAEnV4Z0Pv6at7+/Wv9xTsK8AoH
ns/57/CPv70jY5KqSXBUFr03vpm4Ypk/MWz4+1ex/sPOCVbAF4jUOMItgQfuzy9jceT6LFwogmV7
U3DZ6FexfqTjky5f6iB9hGK/tvX0465BHpLCeKRLRMW51H6IxHAOgwGBdp84NSsvNe2YwfQrqW+d
pYBPzwl22zRmXDMkB4WI9N5hLS2dT/OTyOR/8Kb+/vHgjaVR5650sBFSV92ddX+4kRbQ4Q1DMW/T
cO2siVP3V4jw43BxaVz//vf2H782XLD3iw9TFKZBDIN/fqlkiazCG8A9AD2Nj9FMoja7zfEUt1DS
7S7CkwfT+R9elFLw94cKkySPO+USBxs5T79/XBP+Eqs0p2gzFtMLCyzCQmI6kCDS07vNwoREON3d
jDg9tPH04QVVtvWm2frMYlJMepGArEeK4fneCr/ytVNKIKSy72xntcO6w7wlSj8iq/uoMWqkIKPI
j0LTgF4RHn0BIN6b9AEqFOQVrxPXwJ2QeJRkXaUzDYshQaWnAgIqaR53F1FEK9OKMzqKYutpuElB
ZIH7U+XT0CQBijq2wFwLUInXnLmH3PGfY1jEj4v7STTYj0os3WO1EP5RSRm/d7UxPBoNlEewhCCr
lozMiAZsWtt52Y5cCGbfZVNkH+QVmqEGoZGsA92NP6wiaHdO4pB+Ufa286FTy98GonxRary2/m7g
feI/M79HgMI20OJZ8hhx+dWTxHysemKXtrLJc1LjAmyDyAIBObblg9Nk+dXULuJ4K2t6HJhIb8x2
sH52NiAqJqrdNjWZPsEXIlIxMMdogwjaK8OIS+IrW/RpQygIQtqMlEfYXsTJssJtbDTa1cDycr00
yXxq7cR5ipKxWRPvtNF4TgJsDYyXl51V2HsMBQMAtJlMOCY9wa95Ip54Gl6acfiZUV2+pVadb5Fe
lJvAH7+U+J67EuB/N/T4kGAPvjVZZj+NeUtEz6zqkv9WcQdILMEqsJsnbDZvOh78y0g/uu9Vi11u
iGkYc5/ZvWkAAW/1onfmUsgrsujyB7Hq3ePQ+gLnSxL/8pE+7uK72Eg0vnrCQmK+V40qvkypvauy
voYBnmn/WteleiLPd2DPQ1C7ZJPUzEwxx/m1iJf+yY7mAXV3RgCo0c4vRhKpHTLf/MFQTbwnpNO4
5RRaD4AK7+t9C1ZtU3q8sqtY5qJbYuSEPdzxzU8jYqFNniUiiJYlXMKnh2eq7J+SofiGxmD+lt3f
4QTfakfa75V0zN1Sv+BRxklO1jyZXpfI8LpdJrIJS0tef48iM3mpoSisGkhqFOC+GfpNbh4NgJhh
3zd9uAQLuikdyyevYcGcN/USCjWbyBBa4GWi01tjdOYjOUHsEKT/E8nwRyVEhBDTrBULXSvVX7zO
q0mynxD3z4RhJTZbmAEK1MGfWE7iafvSqu4LkPSBLYo0W+AnZv8W+7m7x7VU7gJ7rjc4VSz00VN3
bkvAWW3QuvuMGda2Nfx4I21+KFO41RshU8Yl5acKlYm4rM2rGyesJumimZAp2e6GPxXvLA+qbDf+
tGWMSl4TZJ4FWAwqYWtcFAl/wIiTZ/yNPoPO0UDs7gN9JX1rY9YGiTPD/K3zZX0r2sl9lLDcVjyD
S8h6eDwUpbwuSthPQ1LymVgDS/akm4A1mt3EQ9Un2ySYpvVAuKIG0HL2ANuscpYeq3+L5mW0JK+9
nSDXt9VyEqLhDdZNt2ZDmW2l081cEMh0iDDLPruhGs5jLKeHdIkY0M71dOmlgQ5YQYtIQDJDWf9o
cIltkZxXIQMtpkaiDfMRg6omzenhzjFdzYYmMXfKhhWg3CxkoUN0bh43V/JEWOZEtHbu1i6dNztq
JGdgnLUbwECh6eWPRi+GWxyBtUQAMJC/uuDvhWpf8Y5V/mQLzaRnTq0fCAeLmxozKn2fENZd1lke
M+kFW5Ru3cfWcp2wUszecKc9mxgyZOVY6BQjdsfeALRXDZugtb5VY3NKTIl5J/9WpWSopdXo7Cbi
U3etIZ7rXJFTpMdLJcfoPA012CspVPfeL0hUVTNV0deY9mxcJVHpbedsBh+qlhZaW49zsbQ3usvj
hwHF9Lq3JhM5KglzCF8hNhpNO6AkCSpmWiTG3K3adzdJdKTswMOeZfmpto3xCi272ULoq85JXauj
dLv65rjNU5KjuyND2/hMnbb+XFqR7zC9pW8stRD9aCc9E5lpv/NT1xuWSBLrZ1rsMHYtO5RDrPRN
Izs2PlNqjxSUW2vNQMhLhXIBaynr54x2sJgJaorr8qBsmXL0S5h3bS4uxaQGMhs5vLO0fWrNX3nC
HGHlwu968XuvQj+UqKsF5/Dmxrl/Um0xE+EDTVc49oxmoY++VAS9vg/IIMkIK8ybjlHisSPjLkys
bOe0ffr1zgVi/Nw127HxvXcVC3FIk6A+ZnbMdZvMV+HmSahzO74y2ekhPQ71mU2pPPWMIs+RPUjw
jaN4sUSSPiHAsQ9tN/lnJ4jBQgZZfBlLn3/qgvGB3esPVTbs9SX4PjzrYs9XdIML75tfymRbFdSL
K6+9ny4BvjmEt4qye/Hc+dD9H+bOazeWJOvOr6IHUAzSRRpA0EVlWZoii+6Q5yZBnkOmt5E2nl5f
cgbCdM+vbgjQhW4a0z0gWSYyIvbea33LsXe26K6a4Q6v065UbnU3FSSkx83s9yFhwTAEBt+7RYRR
P/Q6lb9l2pavTMGBBArnZYkcua1RYHAzQHEmp5HIMyjQ2cFwAiaBjlti/W9d9jAH/4onVmojfhtP
dO2jkCOe91kXwbj3IDCeWpuut7GgUC1MDHjaKVn4Ud+JZjtDPz0x89enyjd++E7v3TMgIkJmFuJS
BchQdNr+dhXzb1JibG7ARVc9Vt1wFjAsPeV8VX53BdE+vpd54G6xwiFGRFx1QsNgPMVeKtHdL9OG
dtStitHQxwQIMfrad1E5oXwzl2QHPDC4m3De3vU9kVtUeNDLqgJWVOBUbrLx1NidSQeJXrzOMx/K
sjdurX5qrtAHzLfzPKvfSqYkcY9tkjxNFS9GYFj6tGcj+OXjSLrKU4x5VsLPmZEvth2qOJNpTGPs
0eABEWNfWN6tQHk35agWsYntGrpv4FUPTeXh322z8ROuFEPKDETddYxF6KAQWDQbXLHms4i4k8Bf
COBBS87rkfYPiVkuZARnatDY+EMbPTmNOfDlFwHXyKmMD0trM6tVUes2G/Iw9SZVVvFSy2B+JTe7
wEavip7wzCSJol2GlMjdtHUWnFHsjnsrx75pUwwxroqEfItbjiCvodvtWoN3CKRgiJNPzOGnqQxu
wTo0vHiCUhgX6czejY1o11AAoe/mnAYlgjnV3DVLom6zMXsoXf3heNmPoXSA2SeLddXFUXwcBv06
aLQaSsMuB98IqMbW9Q6FVrXx1+PGsDxvlabpdm0RYY4sXfT9hT/cWHZn7hNmK3sQCoxVhFchASyj
mRS4aY+CjaiPIthzuqYoYUp0Vmqpsmv0381LNevrIfqtHe/Bn6wngsPezRZz4hKTUqxemYMAXsV6
c2lHwz8qo/JCxyi9m2LEc7Ut6rTc1oYJq7wmbuVcGkD/gbPoY1kIIrC8Alhn5ssKdXPXPwqV51uz
9m1Mwo01nPMKsfZGuVK+zxOespCXMNy3kYwvxCo/RnNpHwl1r95mDOFkjEwMfmgtTZ9jFvWP0Kzb
wzLXYkdmroedfIn9DRqO5fcw+CPNV6QCsbMm01V2c+BJ9tuw7+qLH2fTcTTM+I3pFpoCsrV3sEFJ
jogDpFB5c3Fz+h0rVg/xFMaZk0c6+AuCBw4d3x/tFlMrIlu31tSsRopsA8tt+sXP4AfoSo2sfUGh
GnKNSRz0ZUpc5WQf7Lj/K2LVgzTZObRad50VlDcgKqC2pS6aJNRBJKMFBrjy1KltjFaW2FfMfx7F
vGr0PZqGzyTY1MxdPPQcdlof8JkFPNwM60UsYrKg9QUcaTiibPrd03Tcz3ZvvPMMW7vFnnCoMMO9
x4c57GYvAEsxo7vDcOaLWyOxIxLKyXi8LRLC/zouHzuZ5BVGsKIGtuQjI7Ud8xry93MxGleYm+sP
PcQp1jtQIgRA1o9aoiEcGmKjUsgXFHWBewGEavxMSA1+GFDO31oe3jF+Zfxr3Qp/lnGdPA5TiXWN
S6553eFRYYYogmdP9/2ThxMXM0af/mJjKc4MoebnySCkdJsitN2b6NN/TkuF94U8g2MSI3Qq+jQ+
mzpuL2M3Y/DNGvvUxEN/RiOxZgIj3k+bIbprLNQBTUELcXL99LrkwvaDkF8b2dCwGolj2FO7diR7
xyfVkEgsb2QoPyQIOVWMVc+hMTcTC3JVB6MCVFBP6gKG3qOdorvliMYFVk3Ru5+T2VrwVrMqvWDt
ay6tny1wBsRkWSdcdQaXPqpJJLY0ZTcr9HLfZn51xO+Z/VCq7N7azDHMnW0wONjUrTZI8Imn7Hkw
JZ43vDs7h+wEchPKksLGRy0JQIaATeFi2TKJKzyOxLpD5TUbysCku+eYzPadDX+Zp6SNGUT6y4sw
q+qZYSgkisKXmEl0RHFY9efcmy+oGz0W/5jDcOAtiE3jA0PmXx03nBwYazsGkOBGAmSUE7WVL8k2
jdMtA1duIZGVO2GLze3Z7E36lXBZ2w3/d/uraCKECXq07syxxFskuPBguxXju0yi7K2Soup2kSn7
MawrKIQPdpL0h6K1uewKvQy4iB3FzhAvaFTwHIQNKiuKKixHHOoL+By3POa2MOyXMorU12hlCBAs
GnfVlQW+EdEAqXjTdbAAfAaJa3rLtkDSMG25SQtxBzWv96+JGigQrkv5OpRzeWy0bz8U2sYzJNIW
qS5GAR8WCgwDnnbZ+DvqzOmuB8HAVqD1AEATqFKyL6u5QQVEnLCEudPsQO4s1g1d6sgIXQQpO/TP
md7IqRWnGXj8bW4H6jkdJSBVQdr41K6GOeHPX7oJNEQly5muNLjyD2k2cLmbgiNy4YTFHjON9g3g
Nv2D9FL1ldAHujW0FL956+3bEE0K7AZZkVcchWwDfDcO9r6h9LszgaDLWdXumq87aFC/cjRu6IbF
7OdjWZCiZyN7bIkbvkuRzp5rQ2Y/KS0pF72p9T8yMLA0t9m4f7SmH8Crs6frrE/8OpwmUcEwmdzm
Ta2I5QIe5isjJZ6rsUgp9NL6sRpx7EWrYXqPvemjsGhATSoJnd5heEI/85CN+irPJ1RBmhYYeisR
P5BKXTzNA/kytgFxrUl88y4n6I7GB8omrFNjpfYLJPgTrAtr1xCGTiQDWP0fpHaNx4zj6yXGb0Ho
hZ+4Ge/EVFedzvL3muvSbprq/sijGl+35GPcg+gT7oYTsPIxBuBYCvu5R947z0uEDs5LOCXnUd9m
pklhQDX8YcnWP9Fdha05zp8YxD47JZ4NSoBVeWOe7HUm79e2s3cmtlBAtsNL18TxlR80wU1G0P3n
6JVxim85Xc50tjgZSi7WWCItb0BLb9IG7VJEDXMjPoltIbeW2dqXsuSkfq1/AmE9wurgYU6chIxZ
a8XU6zGltAcqiZTBsBcoDSaAGifizdVLRAmuX7BFA9rK9fSREuubh8Sk9Hdz5IFC6OVtzx4MCUVH
27SfEVEGuT1cj8hETh0MHhhfy5vBb0HCiPd5S2GSg0xfEFOyRcwwrPRPf6APR2506YCC9Ke7NST3
VfHWr8hbQ+GP++7EjKve0V2yXzidUHgkLdaoaJFngSIMEwhhs1ORY0s19W1Sle114HYwwPu2+b0A
197JcgCQ31DrijmDr9FOMH6jCvQ+IhmeA2GSpcyVFmEoh9W0Qb4swQFb88HttDgAPcJJ3rmkOsSD
1ZyVJSqYBZ13qj0rRuGQxOZj43fuL1oZeNinzMd1SbjDSZvqoYy65N5cMQaBQFXouYN9G0VD2Ges
w8VdiNvAIboc+cZhXGvLYegKY3kzJMF1PQavk7C9lwTSEjEhXRPmvjZpzZYzbPEBX02GHs0fB3fr
c115HU03uy5lWYZcDpqdNY+4Mce23jhBMN3OAO0JuzbEsgvshGldRX118RaqYmecxuvOC9Jfcac5
gCGlhbZkipWncfVcujJ/iuNBP2Cx9V6Y19eURGlUrtGQaJ/82KjDAh8K2sCq9198AXfbbgrrsV+q
gHoWIwglUHMyNWlUjW37YTd1WUiQwliFTsVSCZy5TA8YvtWBYzoj1tkz4FQTM5Nsg4QwDRdU+U+2
0ban/JVYX4J64mpPpHN/Ygrto85WbVPuVeoND7iVjCMmyKhmN/XbibIL1v8mkJO4pMWSnVuwjlc+
mv9DUkMTmCbp3sxO1R6n3KxQ56+xB6OiBlIrliXKmvt0ru8Vmqtncj82VWf9TGv3PSATjzhhd8b6
5xLq4ia6VOii3RBP3607gI6M48R4aGpphwhh/KtymYrbVOVPVRIQtlWMyVdrWuaj1zkO7D0CQ1Ku
IDvRjo8gGEidiNzpYSon4wj/ID/PnKRwpasdeYDDQyR0/OjqsjyovnP3VkmXmYaufTtVznCQJNnu
CQYA4zex5/vEyRpxIQ7EoJ/GovMOg8MyypL+q6da+b1gdcLQNYfDQv71jOwUUGtDZFJTniClIIjv
qvzgJQRgFJEHRQ1uQoxfXydP/TDsNeNQu634jhnZ7oxF/XJUSWjyRFS9P/QdAjZQIA3RG/2xov90
cCJjwAZviHbT9LhILXnXYqPftH3ejGEn8dRmi0dYTc9oudkZbXHtIyLTjdgFWYVUSgxvZSB/I2yL
D4OAAbgQ47vB6uNeBqMLa+XeWLo/iob6ru4BTnRtckfvt2Z2UB5Q619qIY2PpAGEgVcW2MtUghRB
i3ZNA+w5DxzaCoYXMnggoCKl2TcOzYk4M0TwJDr23Vz8hhZOuJzd/SSy9oaoTKjpcVqj1UUriKyt
8S2OAwFRCdeR1DI94WNQGEGDtmw2fcUki6uHdy0FMuBOUyATOuxtahvYoW+WGU1KygkJmutnhQnw
uhxzZ2vXLkU7qTmkBKitQbAKhIcUnwoGvEe3jSv8s4mVdJtJWO7eWbL+WCxL49BrqRHbihR2KtZv
+daNYJXeI/4Dj2eHXX5rB+aTjd6PWmuk25YvqLh5bpuQWnqnffCLewYUtDK6dLlEwoke8QgjvxyC
Ojh4vnUKJEkyfmtdtZJMjw1JFtNyxImcvkdexKnoEQ6PjNussyeR6oyRo0mg8nuMoFRuTGl7mHAT
EV27BGwFBPq55kQcWpZfgtiTNjgOn3DpZWA+wnwUu4VcheT5PIcTSGAcwD2q9Jjz0CVjaN1PA7eF
6Zo+ZNOYPw69w27LvoF/LNP0NLHkSHQgqeu9NVUxvC+1Bbrcy5FDO8FQYt/n3qyo68Byz8Ve6x6K
f7uY5P1Jjnuy1ehG4EihWowAnlx80b3SKO52KMix28+9d+W5kh6+IJLPIUk50sUZgsxM/dvekURz
ArXzDkgLRas73UnO97gG/wcHGdiWeHTMaUF/iefiIrmQ3LLikreozSDfa1LnVWwAODB/d3Ie8Kha
zbEY25TpEjDOMgsOMMR+ggx6kO38ivJvJgIJOO0Wd2d7mhEixz5ARMAiOIZgRIcuzKqwTGk2xtJa
RTbm8MDZXXFC5nTJsqIpEbOv7pkekXm8KfRYfuoRdE3n2CpcoUZVlZBI4aGE9Z3RQGXiMpVqAjU9
BnXVP8cDpuY5tWlSg+s5Z+gHjCK/XQ1HOwAY5haAC00KVUcR4d2r7QtVGmgeNNGnEU/lz9TMFGYh
oJ3XuldGjCI0z7j4gvbCScqhWw4xWx6wJ/oFSxYHx8UwB5SglHnsP2V9NopKPrZTYHLRon+aGoLh
iMzeSLc2D8vIjrtmI9ymtey2YOX06+JRtZUhoyw6G4SxpHduRzISQuoLNsgo3qveXn6CNcqPA7fj
WwfayOvSapPmF2M9rkRahnW2BMbtXAgcWh4RPA16MEH4ooqjO5vW0C9qU6oQnUXndIwrGhV8fnyS
IvHMXSRN4maA4mxV1x2wpodTiePbAZ3EmGLMn8u+PXZDA3qwnF56RfarquNnBsiHhmDPY8EsaTfo
ToXGsqDaR7NMjzsT2FoYKbKvpM997aES9zHESNzktK9co/uqdHrGKYMpJl0Il+y21VTUOzefOLJp
5IcaCtA1LhpwIfAZFEIXrAZWE++RyoMwqRGjuFtHph/WYBG7PWTNdCypP1+NKqC36jrtCQN++xvL
pYEOymKBTGmHi75sg/GxkCbJEq3Z50ecEVQNqI1vYOTiv4Pz0B0GmnVBaDirUWny2s1YuSDi2vzc
exAc1dikV0xOGDnA6TrOXYBhuTOGGhYANskHPafVEeHZpLZW4ltHPzeKAtkQanprybLXjF3xF8EF
UNvQtjy6TTTSJ54bfGfaYQuT3njfE++zGdE379g3xDWZIQ0lU1s7p84anSp0EaifJ+4xV+MSxT0j
tMZhmpbMSIN1UfOw94blbKeejzwU1vCSK8z7ROn4uxTG7GHyzYxrHZANDxvZZkrkQRKIpUCS9NYt
FRxZP+QZke/StvpSNb9VlorPOp9F2HmDuMnXG++krfQBvV59tvEnh3VZZPeZ1u6RR8m+XyX9L05i
eTs/EHILi4ScbykJJNOKTIkc+q+TEerLLC+/QWbkcC0buTtH7XTNjjtjoIHXM7BLH1wbgT+YznUy
1kbmj4J2wxU5NcO2yYOERCXbfRh0kN6Cd5G/TMKWog1dPQ6PPJvt7YA9c5NMIoP8iTeRHpK9NQAi
bppc9K9dmshHk/V5SRqTpRTbPX0HXT9IlFKbmjlUyMmjthmbLA2q0TkZLeEfsFGWdOvnsnxMyyY/
DMrtf7QRe11t2Az0pwpl22YxMt5xKbBXhkUF46OJvR49dp38ctDRvsnRT+8WS7VbxokitBAqgr+w
ZeiTbx9aRgz+MS9I66vs5RpHEkdOXI98O1Pd+u9iItDJXz7j0bNvZWDfs6Do1tNNCsuiz+4TYZYD
iNZurRwcWIDnQDO6PjRUvcOhZvNMwqRT45Fl3XJ9tGmZTiQDYU1K42evNdSyHkSjsUVOv8yYNjwP
yYAObqrRRJLtld0vC2+VTc898uz+rhXlcsJJ5oXkbOJ1IYER+UyCX/eCvbh5ZHWlP/KqMV9xsxZb
11PxLhYy3kd1pO9IoijC1huoL6NlZOxMdOkrqsv+OQfXuHX8Eo9Tpk2whp1F0qrvxp8BttdtExn5
jjCJ5RE7Q3NTgaogFggziet16qqaDRICtDFajF/M7yp5CGebaBoBA2hrxUVxJZd4jWuCILWeIWSs
Fv6yV86ozzRaAL4muXjP49h9sbE0XVUUSUclEkUf1ksOUBPSPdSLXWHNw28RtNYpnazI3HjW5BZh
YqY32LHne1ZkwZXa6d5qd8x+2UFBLz2J9aPnWeO0Wah3GtK0mlXBsKVrTFpgxj9xMo5PSxwFAGq9
CraCMfbq0ZxLRRpO3cqz4VdApRezQrskpmEnqbWOuKeYoOvcuF/sBJuPcEsTHkZS7Bq3R6NiNnT1
4Dc+YZmyzklTcxEhhvOqK6yJ55lHr4kVQ0xfF89JVyIhAV3JFLS+FbV49irxaSPtfCob0T7UgxPt
RT2n6612BWel6YshuvEOkoz3BMFpfBDLSFBXdplote4tJxtec1iR99K051cMFP0uQ4hybdfQVwcv
Gl7ZVl7dvLBvF7HeD9YIUTt3iMEtlHEgZ6e8j3si4CI55r/HMVL7drKMsCtHMsEYFVxFCKyO1IYp
UYmNBTEB+Yc8FZ5qD2Pn67cybgF39BAGf+FN5z6mGkNsCu7J11kq421FPsaxdapyq+CohTGef+I/
V2lENfhsTXFzKhv4QlwLD53tkbGJIQecg2m+yqAAtODzqohETEvzQrM1vQZUa+/p2Wb8Vm/e142R
n2JwrveNR+ZrGeD7FknlX5OOgii2+pro17gzZ0YRDfOBazQ2/MV24ANniRFGKquOLVgrOizxG6k8
v1EpfZIC5YMN9fZpZO6hthBBqNzs0LT1J7BdGEsuTo+UlMDVbtbki7MlkuUm7uKbyavxKLPtzNrb
znCOwKIuBnPjZMcjGw6mAznYM0/F2DwuyjyiGAo9TOXHJYN2KMli2kimQj2xBQyy/IF2T0kWZ2yJ
o8bbXtjOcciWG6el+72AkH+g1eUcFe6+vdPH6JEbnVJMDkP202uWDrhynN2SiJ0/Wsy/nmRFxVjr
lFZ4WZuH/65rCFjkj0YAvPv4HQSqc0sJbJB8F+dwuFP1/K2Y+38dHnP4rM/v5af6H39IQfiff/zX
/z+yY7wAuY+DyPD/7AUhF+F/h8ec01/1x3v3306qeK9+qz/6Q/71m/7pDwnsf2ACwYdh2hx05nda
zD/9IYH1D4thpYsu1EL/5/nINf+VI2Pa/1gVgUHgOo7jGZaJJPFf/hD3H550eNrot0oQ+fze/6uo
hD9pH33XwBTCK6NgxmDFUPqP2keleCTqdO4OYMXsTSbLj6oh+cj2gF4mEYjUWhdfvZs2oQ7yj9pU
gKRrLvIMKTcLcPvN4BOYiWJRhrCiX0ZaR38jBP3OSPg3Cfj6En0CQumbe3wics3U+XclqD1GePjy
GGsWj9RGkOZJ0d1SgibBzdi27449n1018HQSLZYzG9j827f8X3lNVvfKf74Ah5AtPioPOtQfX4CV
m43P6KU7RPEaqKfnMWxMJjo2wSkJ22k4RBEI9qC/gvzOkWzyOv76JfxJDPv9Ebi+jSdIEtjir/kd
//4RKMhrXUEy/AG7MYEMpvc0JPKcErrz13/nz96Jf/0hlz/jwIWw7D+9VcBFqqfliGylHmssHn2w
B4H/WsOAodYAYACWrA5bhNMb+g0BLA6jukEedZHVapNAmIBoxI7eVSanHTG4xoOdmxglWH3M8+fu
NOA0PnSlkyPCYu5PlK23o3tGp2IYe4b/sd5Hg3XfioSLEtrVzdK6bypSJ6NT/hZYaHQVV8LfCKsB
t07o4+0SPevJYbWW+qkmKmnvzNN8RqX0Zdo636mx+KhE6W+LLjprP/gck/LB1t6Pv/7k/uRH4oPj
kTBo35uQUhzH/5OG2NOVUTBmw6xjEx6XzssbztGtj+YHvqsFOy+JAxgSY/A3ynJrXf1/XJwOUSu4
vPANfG8jf1waqJu8hsF1dvAVlxm/BxHl+fTiLKuxwHUoxfhWM9PrLK7rtLUZc9OY98iG3eNwsHZF
QhnvK1LMPZ4p2wTTFkQoz+p2IlmJ6X9IXeQgIyXwY/fXn5ll/edrdymLA/KrXIxqpL78YVkbQ8B0
3kuQcJlWtW2FlMhSUE/ZY/AAhaDe5V5fHPqoL8+IjpDjmKcppxO/yk+i0j39cwNyuD7IGxfJ18ZX
ZDvT/FdbD2UKHT475Wqrf/316/7P79ohrMZykWxbAXJ+To1/fxp7KxUGxReOWtHZdJvYFHwjwJ25
ftCd26BpHYhzFE5h/d3z+V98YJZjEfjsStMgfeePf3mwwO0PBDMfohF6+TgEPmLtXv2NNP1PbgXW
suPahBD4iHoDmw3nj3+lovtki7YoDsniVQeva/OrLko+/uZDdP5zW6XxEHgWsTmmg7XkT99+XXbI
bLKxOIBX+qJnyUXMVUgZ4srmLu7wkAeCpkE09rROTJ1flbL4MmOgBA1Rvlw8E84dELSmQ3cC55bY
EXLLLIKR1j7PSAHtDPI+UFw8CVR8ezwAZ2teOoqRwd/mM5q3ESHTnpyXfpfCMcTILQ/GzP4mTchG
hGMBHIYwslGJNG8M5mObbCgMHg9+3ml9BNZazNTv/K92nsXKQl+DkVNo7QPj0CRonL1lqZe5J5rB
aiZ6zH32Uer0A8HWpWTsfxXhuts4dvbVIYU9gpKH/RJURzEDSsJgFOzR/XwhW/KJeWXPRQW3FkBE
qfom67uKaR2MTfHhjqxBwgCeW93o/VgETwmLIxR9zuu2L0jdxXFKcDraVv9qInRhPszuvWCG/tHM
kMcdAWtsntER5+tUrAgy5x3XNduy5a1xhOkHDil/a7fgcGK3aMPUkj8ZzZCUConwYawnLg+p5iDW
LnjfIvsyE970GPf+Fl4wqWp9jx6TdIic03OyC2LOGCuPPhv3NDRql3OAbLMZFFnZiVcPRerWibog
DBLb32J4iWD1qWTPIwbVj0aXvWoImWGkhJtzAhdLD+nCKW9k0TxmZvDUKiZz7YDON49WVDVWYA6W
0QkLm68G1v6DCxgSxigQnjE6RF710RmqO6kBAh0qb7ULwDdRGbBZdm0G16Zw921bfNFQs1Y/4zWi
xmtd5l+FR2bOrBYFwJA3iixObnDuRTYrkEqUUHXDO+P6tEKz5QzIbQeC79AaW4CtNFTWI3OpuV/l
Jn8K6eEX8iJWLN/s4sVfEq14mBswZMe8hzkIahmOM5OvOYq/ahAhJEKxW0Oj9ymY4LCRHbFBxZeG
hS4/oOIXd0NgInoYkWajzdvrLPlw4c4dk8Xort3IezJ6sH4d19Mbl+CI3fcXw83grFwG97nJnva9
dpeJZWOAG0DuV/RI+tIPH8XbRsb2xSZP5sAc7sM3SGmGXv5h9jwa3wu3Q/JJV2vGM4LwwSzdw2L5
T03ARSahc/TPR6BkhTHBvzBcY6o/cvl08IyAmODLGtL1tiH4fXgKbKJyWUHgMNE8GTwuzVBDLLfG
5GYyCDHETpOGjc+ircEMf79wXi63mAHKSyY404KA923JQf0YggmsXw+9vm1mHjUvaW7rgODgdOS7
A8ua73QLDxot8VaWeF3SPsjCDHZsPTHdyPIo269ihE3JBiZQi0DtJXhL8z5YuuBO1y8YnPIFVs0r
kn8cTHP21bq8aiYLuBJYYGBKvvqZe7Q/shNUWcwfUDDQ+4ITpHGJLO1MujDDxIdIMcB9iHY3HTiQ
fKM0j760GM3UPtyVll2JjSrfubp5BZV98306BQZ/hFlksJemE11ZbvYFqjy6h529xzgCEYcOzK5T
VYO6wEL7GvyuCjYT22LlVly6Nkqlz0rxHNOMhWrIXpszn9/KWR46r/iA3/W9nS0VH0SCufV7UxqA
r4egEV7xgqzYAvds1S7adVBz1DvVIWXORq2efSwizULfhhZBLf2vaiJZz1E3teG1cuyg1zt/v8Np
yb/WR6JN5WU9CrCiX/qGF/b9HTRWcE5LMW2MKgJsPd0gPpTE/qzLpsJWFFkAwGuTlnjmmDeyy77y
Ji52HUIJutUsxu+dzkctGcrEf6oXyY7qaqItzWC6U/gRd7Pg+c14MneT0PyU74hjkZPx3q/fzixY
eVLXNxpsF4QmnsO50fPV906MP5WLmBsz/059zgyHa9ai/SePWAMNTxDrfKf9eU9rf73F8AUM6dDs
CW7R4I7L9FwHELR9iYQtQLQLLINP7PtcwaCKUmm9POeuvJhdtEPSupBgSZxavvBBritsBim4SRqu
6ew0+1HzVU01iw4kWYOxlWVVjuw+/shXY9P1+/52Vda9pkhBSM9k16cKqg5tzC9ssQDtv/dfxvvr
vBJmYpWb9kYEdX1sM8AW6xnXgebcxAmrWg48QB5gH9flVVst282KMtt+X4eHFGTbAPfpVkTF8ozA
sT56q6LRTrhcGXP+8b1Wqr78yPyEScn8FBlI3XJJONQ48lGvp00UsC/mPY9A1PX5LWK0fOuiyts4
Y2Hh6IRGypR02MBPbPfeqNFvuriLppRPlekH93Pp7bO2TY5FU3PgLX17Zpdsr1Mn6U+Ej9kbJUuX
FKcExqupg30+TKv6jDgS/EYOyLUJhXiUSOPYNTr+SDz0nlynnXQ/ohhjVp6qQ+DR2Uvn9Ktu61fo
qP1+prL6JRhcPRKG0lwbRN9s46Z/zHDTQQlGCErj1Hw1HBM9UonqNfds0h0GM9raNmjUuCBXhvg/
sGzxejVoxvrUyYS29FDSt9dMsJwpEqyEtkZqzLGQJ9yTW92dbTNx9p4zE64XxB+DWGHrnqXI8Yzs
0Jq02ueToa818R6bpmKzX8u82mvyLR1c/uGjL5FwYY6BKNtzKgmMmassDbFZ9ztMD0aoEABs5iJ2
uKNA0oLZz8m78ImNVveZIZHb9SN+GbOtiqOBQm5H2MepD9rXgqSlTbBOMEfbnW5hWDIgR8vMkA0p
Cwz+iD+PP6rq+WWOOfC7dcV4wzSHfTdIAgHHn3ERT5953yVHXIXRdpojpAWW+6sBLZ3FC5JYLs9A
xNm0BPikGsUlBhagr6wGQMsIpgn9AMwYATOkwWiReWelIDEzojtsNcEsjtEHGO69gM4siIvgOBr2
8dKlaHT4TuPkVkzddVqz/yL5eTaN6apzC3/jMx9hKxefjcvi8yYQTNZsWrt8EO+oL3HitqZ96rVz
ifPMQlRn3HTCzgHbs2Ua2aC2DPXF2tCmITmXPLVr5QPHFkmxZltKh/TLnOsAyTv3JxNF6LaukuXZ
7p12/YZ1OBWcQLgSoq8pEzV9br94qdrBuXa08Qo/R/G5qNcqosVR5m33K9boMziJh512vf6Q11yC
E6hjgLC4MRmrwnqTCYuNa93HHZEjtOSco2cdGqbsd2JEsjA0HT+1VvQy4HLHeCS/9emKcsiYF3sG
dF9UdLA7nBGkNbJEKZgPzjR9MEvzD3k1XhKfFRMFJSChCpK/5ihYX+foGxeT7sNBuSZlIaf1JuCa
PZjJRy7rVyOnVT1K46IYHzAG9FihiZqvTBMTWWqsQzMvvq+K6Qbz3k8KyHZvYJ++VpCknweRv2Wc
aXHvHVprCaBHsKlZU5aDpeTV+NyqUC303K7X7VRDCL1F951vR7+HEyb9JzvNPxpIc1wwmHh4c8ct
EKxZx70Gx8gNkyWXuhFBfm9N4FPn8hFZ3G60gHz2VsF7TTskKFOW3Bud2bylBp89TgL8qbl3KhxW
GGFu4kjmQ80Fi8+UwTifs+P5L7VdddexSKensiWNp8dOtbXW5lUak9mS50m4+OxrkeKek7fJfBbC
BvfvBusmXVKtjCMBFFL1qCsn7piWHhv65eCEQdEei9g8ICtSJzPIviqRfMWc9igY+x0w3nNs8zq/
T3QUfmDxue6061qNWSZnjEFUedwJKK6tXWYT7CJ4wRtnPTOrpS7KzVq16JkGEaKOfDvE3WtdcvSM
0zDdxQ2PlCUNvuyqrw492UdXC51JsPEFKjq3zx/aYSTpESW3iA1YwsQ/7wsqetJqWJNdX1c3Kd6e
MHAWCMt+YN7EDX+msFjDc2LrnyV5S7+7dEapQVufDgizAKzMMYQZVlOwRNF7MSl+S1d+GdowPnAj
EYDNqfe9+qk3d72XpVcUq180IXhXhfvgz+nBDawLST2UehEnV4aAdG1USUe3xyEOxltJ2/5/UXdu
u20r3ZZ+lUbfc6FYJIvFRve+kCjJ8tmO7Ti5IXIyz+czn74/eq2NjpX8MfbGRqP7YgHJSmJJFFk1
a84xvgFiat0DQ+7PvpQDuZucvBLc1XeNB3fO7ryKIRrjWxxg13PMMkYzMt3l4Hm2qdOdG/0Ss+JW
F2BNl51d8/KEYlOv2hRYsSFvsmYgjcFGRG5Eo4nmj64UdztbHJFd26Gw7173XsB+LXdS8PDng7/z
u/aC0koSuE5OsFAn4IUhYSAbEvF0QHHOQRwGHDTa7rmuaAomIl/2SPRTPgXfcrdkwG5l3rPUVE9O
/VHX1YPQRECPaMn2a5nRu8JgsOk+pEN4K+S0AKdzjTOZNb1PfjnU2XG4VbmB+kB3FMBd+PjayHw9
I0Hs+Y7XJAKch+7d6dSdmS5EmhqdeSmRvpyrasovJ8OkoEM7z93AGaizWEMaN5Wcr51VJU644ush
rIfOcN/r79B8mosC2fXWDtcqMCLTVnHm9Z1QB8fUNKf/eIuciYDFoMClFQgP6aQjlWRxlIc8KYeg
5ciBPSA4b/F8nCm0BITEYht/XXjp42/TnscNmKb3Tov6N00x7THMULaJdI1+7tumER7gmgixtD8k
bovTSC7RWdtQJ0UK5VkKzZppIDolxOfWO+2qlbB12gLl+O7BTAEUQxj1yUvzZJs9OXL9QdfTsMGB
4wITNsz7eIRlb+Mt+dyTCLcjJwNTipPclkM+fPAqeZityXz+8929duBO2rF8A5C2LBBEawz228vQ
y15UUTmmB3tdBNaGATgRSmgkYbvGse8I6XtvPrF+vJOXpD+K+ZDxhEDyefLxLSSeHDeDnjgsS++y
eta7OuRXeIkephZZHekcI8qdJjtDQJef/fkD/+ZpZk7AG/A03z6jrLcfOOeiWl1hdIdaU4yBRibh
kQPFO3f4by4rXWZJlDdRBc4vYyp2U+kwJesOixnbzN0BjTbJ9BkB2XXrZZ/mLnuPP3IK41m7oJ6F
SkTT3zbp7p98sLpoQsqSvDuEcdJeBB0N8xgo9ZElgVbOqB+YLoNbFGtunwq/5lM2H4YJ4w+2356U
xfj7kj39+VqfAENe3xJzROVA4rFpAp/cXJVBOKMnKp6xNPlcVqB+/i5+04QaL5vqd3gy65Tx5M6C
JeO6kFGk9tZB5NvvtpeuoYIibQ86dq8bgD0+0YvFrgzwdQuq5o05wPbIksdK5EfiLB+bNW1iiMer
XqaY4kYywYFuvMNSW6eyv7wtTzoOtzqPtnodifyEhrH0BGjSDdtD7g30aTKKZ7BYtHIESVU9Vi+0
Z5cRTbKPVldV+7bkK4IMR0sXLLTZTDSmqOPwOku5YcyOA1pZ16OJT7VLkm+qPXM6QeaYTQnSuUck
LneSGqcPo2qTh32yM7pwByo/2boLYZc4U/xsnTqmCq+zFMQI2bBDt621nq2FkEhBUTWKgGivYW1l
rWO7140tIZnm+Oc7RP56bdZJskMDX4GrVafzXLAkU8fBcE2V5LiAuz3cul04bLIxpy+GchPHK5z+
qcuxJwxImdaPSWsVnWFdUhC6tGoDdjq4v+k5zE1j5wimRKSGx6h/qUpbEHlXtCQQ7mo6oWH+7npm
/jrSch0tABpYjmIoLU52M3oZrPMNxSZFabtJiI/16akhcXabZ/SNaPFUfkmSRwOkBTmikcV7DKvV
Oxvarzc/9lmP20syuV8xRG9v/hztbjUQ3X5AgHEuRy6M5E6ApqDeeaFT+B6PNaND/FkuE15Xom56
+0pMQYJaQg04BAVdwYS6BzDgsq/drnjJlpYOB+FFSMr5QuuJaJoibXgzPXFdQQ4Raayir5IjPHZG
eenmnPdSjoBc33RXrmfGgsM7/e3LxmI2b2W04YyAs8ufb7zffWkM8BiAOq5wEC2fjKaIxdLSXKLq
ELWAJCRBY5sGE942b6k6p3yq8Zb139fz0pzSfurr6GXO9Tsr1q8LpIssgnkinCP7120ik33rViay
RWGXPywP/AOXgRfLGpS883uvJn+dYLkudjGPua9lCnAMb784CxaLFiDImV+O4T6tyjU9RR0RdKJ9
N0MAz4qCeukYckB8C2/ypXwupzK9UjnFvS3Cr5U256vMrhcYdFJvUjvlZJ6vlksILFcwud6Bnv26
j/KOnXVQTMbcKiN5+46RrwPUm3i0XIMw4rKtOt9I6UD0uIE2tLKFP4jsnaHlbwp+Xo07QnhUqPDP
Tp6kjNIBfSZhBfCZuYWx3nEQn+RlUtrTWZR39FNJ1OJE20M8jtQFDsi7154h/XZjh3UQ3EpBCyFg
UOR36UD0nGMB/y9Dc4//e1dZHDEjxbHbcrpnuVBvvfZECpODk2T8vO/cdTWLHfq16/jFln18l3Ki
2ualFZ3ZC1bHMEX9GQfWY1bjdTINhnqVqTCbMnTYR+5azAejhyyY1qTLKQ6HVwuehb5PmYGqYOaG
0jZ5UXHHy034e8zgs2Vgl6iqlhhIxP3/mWVDWTYCHgVfFs3G2++y0kscNTbLRjh30W2aM8Y0Ob7s
pYPJi8ZyyR7IITf25Ffa5nSzHb7oYqy1P/Yy2xWqIbR2pkf0utbn+CiO8RxX9EzbygFyJD+9jjZB
PsCOYloL7qCxrqOEL+HPa8d6070tYDXrK8UrihNITs7Jek9ALSNYEGQHOBU4/AEU+AAHeCTsaADC
5uVbTy/5J1sHrm+5Q/rOnrlyeE9fX9p4WtC8oDUyT/U9np5SDzZreRAZU7RSNtOtmdLv1/CtGXl6
9lNRYYOJrSg99ibPCAkxdBUM+tjx+isnLWq/F6DAwoXblL2LiRLJq76a7c/C7LETEkfR0nx9nT/Q
2jAN+nzBlEByQaTvVOs0wKHJntCUPIh87fFNazt3qeK7ph7tJ5E5fiVIjh5IunDU4uznVfOSh94L
/zH0wO/ww26T7FDgcDykLuPGP39Jv6kstKT6JujHA8vnqPUq/lR1DczqCqKUSoLqeKzW8U9uryNh
k4lQRXzUbukIVASjcpxEKjYgv+n7xE8MDzCqrWOYRfQIpxrITuzWd9m6vtXqwU6WmLl4hQO9WK01
zCJckc+HP7/7X9c90JVUFDz3gmPq6Rmp74yqzWm8HAxtr0yhdrMuFSlScxq8dKOyIH9n1fuleHa5
p6hPOZQhc2BjP9kQI5N04oZE6AOtbTTMVeduMHHTYFpnMe3r19szFBpYX1ByIBrp1zHg0JFEYJVT
v2vqBjg/YpYNUo33Fo/TjfL1zTnUtTxvq2po/fOfvkw1Ey1upJgM46jG/NLwHmbKiH6dspIq+J5+
7Tcvtz7iKJUsMK5QFt++XJNWDhaiMj2MznrXuvnlbFBQ2S33DmfH907E+rQKBqqIPd1F0YmQjWTE
k3s1agamjTgZDlEUOZdePNishQ1SXtvbM2oikWVMqUjiImTPoAw9ix2IHaZpFNd2absfRzv3bpOh
P1NWf9MqPe1q1amNPWI8Ja8FghQjrYsMMsPBG2finbsiviwsfAXBQOxgvHQF7lh+eDw0ap1d38W0
w49JX5jga7E3GKXM/WTFtnKGsaOtUcYjqAnwA8KKyCIIRnyMaQ1SuLYPRD1a52g5DCYq6Q3x8jZ5
zq6FUcjiGpIUc6lqI/GDJIVGzDl5vwwGPsVCa59I5MSPpPHVXNV2gEf7u5lCbU/GW+K7ESe1oBwG
2oagQHpqbgA+zKnXAEDrHIGqgw4s9UhXyeuC6Bg7xgXdoM3P7SKlSxZYB8ut9ZkX8x6MKgjp736o
OvsmjEAkG3SHL0gvWGj/LObn1wiqzk2ddx4067RQd8mcNFFiSQ7EyPD0ST/RQ7ruGRm7PAoKTcAO
z5iVoRopWsFkm1oqQQJ/U9V1gTN9hEOxzPZOVusXWOLx1E2nmF/01PUuuT1+nBF1IRNrr5EebtgZ
FC2lwd7NhsYjxAKJ8bop9gwR7O3aldhrazEeYMvZl97645Oyu+ki+YBvyQY8rVCSOL2165u8QCfe
6ncaTqebF7I/HiieYOoYFhpxcquzcuLlrFO9j5rl0ETQBZjE/scWz9eXcFEYgi5XpiNOLjCnMIy1
KtQIBhLidgbarwOoAj+t8K+3nVVzbeAY/PlFT4sCXpS106a44TzBsnGyQoWYexIVNS7JcS4pSyGJ
IhXaecZuKSwqi5GeYa1Zjo0giaJL23faWuZpbe9a7HPo/Cjg6afScXm7ZM2AUIdkdWD2qjKYy0Mm
q6S1YNpYX5AUp2PldfrAavdA2yE9ZLYaHv98CV4VcD8XRq/vgRY5YE+N6HcViP+8SvPYNK5sDLVP
VGr4w1y3Z7ltERudihZ2zhB725jsly+TWIJrLqR9XU6oTotOAjJK3cWPBpdc0tFO9n2+6GfRSi5l
3VLdRdU+T6PmfoSxfHTAERyrLnIv69pWl2411k8yRJWwmQoTVIDX3VqE+W4ioiXeKb6c9XD75jNS
wNpApYkMonHN3vz2M85xhzuRLXTf81RdjlYz7cGKmFsPV/T564fwIBXfCkjzly34hy2DR/Cri1j8
zEQ7slCC+Ra9iK0VQffy4Jr5RB8bPNeiPU6LfKnQYpwZg0JChuvOj0PrLl1BhlUTD+fLErXYNhXh
0c6iD2pyB6ba7Q7uQYKaQ9W7THULCh/Mb0NZGPucOEcwBQ7WnoiA4qZurzHwYw9SAxKLKLyfDdIP
VTBmt/NSPS0NoLIm6s+dEa/kQlDQJgQZdCVjt3s2yuL7n28Z65edlstJEx5NpUsrGEjU28sJVSOI
4TR4+zBt6J30RrMFoUnS/fghz+0ACI9t7pfOxF6o5mAr6XhtE0A6Z6nOiCmN6V5h4oY74PGYJcQY
XtRpKL7Uc0LAIszTC36KuhwG3ISTYRdnNJJ6mDaROqRi+LYklXfBKU9sRYdkz+lae1/Lmpy+RjZb
so6f+mzu98SBPuQ0pP10IbLtz1fAPi31WDM4c/PEWo7mATZPbqgESpiineLsAaz0NxqPwmc5jQzB
eOMBO6iWu77UZEWPk7EHaW8gxKmjC+LHyGex4wpMQ9BvcpKfH0n5Qt4R89ilS0vSsSYuei/HihtT
hSD4EMf5ouEembsyASKmk20vNFlzTX+Y5gjsqrQ/jIP1bBsmUcae+yGI4u+cdfBaMp+6yDvDPQsR
bVyF5DXedtSTuygj/tEbMo7jRVQB1566g6I3cLAZ+e0ZTHKjD7wkqXHWOz2c3907TC5smt6sfb8U
hfMUR8wouXdAvb/gNtC367OC3RkokhkO77RxXyMvTp58y7FQqNHJlZ57KmbOe3pVou9YYZFT+Qlz
6GeEZRHpjAWJnks+7S0RJNeR6qILqRsWvIbyyxy56NNQU8FrHO9MEz8OXgAhU10Fi9PuTVQ+kzon
OKMEDsdzPSRIXvm724qa0Dc87suGuCRfjjzNlO0vZYunV5aI+cx6GX6YJYkAvcUzUHEovExaoXZp
aIX7CEn84wjO456Bf+CbMhruqjhetrZEp5HaJi0uBTMwNDjaIObyIFCouw5/zJmXzqwci9df5apw
LxvcFVcjAYv46VNCJda3w8SU4EMce4+YLw2/HdhmjAgC89aRbrInGJWnsDOSaylKzMFNIT5bATRi
RMyMsyPivPZek6927NDYg+RkMXJNtYvoBVGB8kAs7zxov7lbuEnoxax69HWXfLvStEplaR6iitUN
ohwoDYDOKofNqbRL/Ps8EH9+sH99PaaKKNIpsTioO6endJUWKIOX0tlneU4BUvE0IJvzjmiO9Fm0
EMX459czfy0sObY5fDaTAy/DPG99Rz8dkjTytlqGob1Hx2Tt4hllqEkSzWWcM4gqFgDsE4TbXdiq
fVX2zVnTslyoFEpPmfPwu3iet6APAsKM+ZXXs1GJga9alPYaAkv2VFXzUSASNvd5y3LtFOvm7gAE
Ipg5u3WK8su8LiNh4QQorrnplJl9Qb9Y4w9FFZqUseGH9CYfSqhgx4Xcaig36Z4pw0tdQv1aRucl
dbMvMuK9G6Kb9rMOlgv6WnJn9hONlbJ5aBfuddNg5X/dWvGQN9tGh9EzijJrBy5quTMR+aIR4Wny
PHbJiFuQNL1MXIyd3R1Kte6meYoYvKIuSWP2mZ4Q+I1Yn1VgGQmynn7+Ch4XmdPAfb7U3OJp07Rn
qOLZeyDf+G1a1U9xnBp7rpsF3pE3VLlu6dNxWXzPiJgCzPX0z59m3O9kJhr7xgXdvSF3C2e3HOvt
hLRgM6+7bhLJ9kh+qcvDwnIRQyA4Tt20cBGn9hh1Ql+ZNQP8PuO3XhcC3XR5QouIvyJCKogiIFWl
LRF/o/nG1xq2DWRDVERFF+DeXT+m4ZjJ9WCQ0FoNZktwS6kOeJS8I/GqXLvM0YdsUY9qdr/l6HW3
aWbLI0/ncImnBprTyFMTOrM+DDUmZx1TRr8+7p7i8qE05RUMdoHKo9KJcq5/5Fkdh3a+jte7/b/a
0XlFYCZJGC/dWw/n/5OWznUySHHwrw2dF1+a4gvRt19+tm/+86/+CffSf3HyZXXzEOYQKLRW4H+b
N137L6ycDkcTk5GHdjzOXf9u3tR/2XCCBEsVb4B+O3/0j3nTNP9yXNo1uF1Mm1+gffm3//lt+h/h
j/L2760RN+yb3/83EFO3ZVx07f/67ydHJJthuKbTsY76+EnUzm/XJ9U6RuVi0t+R+nI2EzOkAkxv
Gq4E43Ej6O6GMn2pEb++s/ITM81P/mnrpl7XkLIc0F6KCTEH0LevHEaOtagl63cKH/aPgN4u3QPb
hoPkDGZ4lGKhxR+7TCk3JBou91NbTRlu6WjhAWqrF0oQ+Anp3E9k8aRaP5d6Li+ALMoSj/hs00kN
HQ9BYzvrWyaTjAF77NV7ywkg3TfQxBc1uOdG2Kl92HoIRYsZTEIGN4PNv7kZ2Zd8jhzfEgF5FGTZ
PiFEbAvkBVp6XdwTcJ1vulDslEGIUhdNNL2nJrlHD6KGzTQN1jUse/MWkVt67bbGijWcEkAAOnkI
Pc3rBfPUHiZL5Xezg0+tSi4TK2mv0opLMXmLSRLvJOYJ5EbMPx5npI1gT4dvljLsx85tyStqezO8
iV2vuXSKHKl6PAcbqWLM95UEmEc6SEIjIwmfYrjS98oZph30+8oPYcSa4Hvv8GnaflB20XMnKFAo
3G1jPy+pVVIiGvpmNNruJZjkOgMsvYbuTNJ538m5RsE+j0zq6a2LRw6PLb+U3GOrYyG6b8s6ANBi
zwBpMwnMHhXoPB600NRhlgBHAiuU9QuUkmU46nqKc/tGcOqIdjKdHbyb5IMruxWXcTsBhK+m4nYK
x7AneJhQYBZ/uAoEZxSYN4guOJR2P10OCRHF4KhIjwfPQWB3t1wUDKoe60K7PQaN1iAo3nLKJzmt
Wq5uTU5007EyDpzqvPI2lBaK98hOYfJwxuhQGRMRu2WW4XWc3Hr7jIM2E3mI5MtTnklQ4JtgDbiB
QmN2EwW5nm/4e2ONvrMwfziG64hdCM1yNziddxupERybGAzGej3EXkxiBji8dgCxr4syIeZuEGWK
ClhaxJO48EdLVIVPzgyTa7ckGGd9RWDjBiwAsyXVtLAUkVPPxyBv2cFCos+v+j7qPteF5EZKa/EM
6y/6EXRu9Y0rE9+3aeHd0EAr0k09Z4jBY7uPnoEyxESO9XFI1mdh2RtmHCjeZM+rLDIyQb6nHmP/
zLU/A/Juz9WSqGkboIwP6EgnBBVEljnvZDzJPQSQ+YMsF+u+MHVa+6MpO2rzvIZMvnjD9I0QDhWS
Cz1Wd0Ngep9bXUYfm5irt7N1UwLpzlKyMrxQPQ0dOH+3781pRzk9fcnLrn1EeIYgX8Lt+1LHSY2A
hmQ83zQb5WwVdFsBh6g2fxhtbH6Iuip/Aska3JFr6z4XfSZReltZYFC8W5DZg8SDg2QOabXrC8gz
JVqzXTv3ijkE0z1MHzROWr+1+px8zkjTaFZNRpwMx3ykC5FSyy4SnK1MTBrsrVCmaMDDM5zdZRgO
0dogAc9WoygORXaxELNtrrhOVpEURCh90Gw0buZqhpRlpjp9SmbDi4HuQlXcUuiX34SgUPeVY+Vn
S80MgsFi4s6shNLFCh3zeVS/YsKrRCe3Rp5Ft7JzHeLYcaGDfSrM8S6G4v3EVwq1mXEyWCxdqV2A
feFDCE/dtyt7JOPDye/WdshuqSjMN5Wa6merZU1nMRPzJ84a6jOLOd8oPWuiY1vXBNMPQsZgVIUa
M92EU9WBDNT5tJDiMxJv3k28UwNwLRHXM95HnXjG1hwKloUhCJzSpz81XI+dGp8y7CjQ4ZACMU8Z
PPBogn7tJ6ypg4ND0HGACtJch8AEAegq8WR/azi6etTzxGCtDQZX7wJIis8jEL7vuEwARebRSr6J
BaBjxNEk4JGqQ5kPSq2Zw6MZQGPduJaVXoO3EdFtKUD271aZ5Hk5qDA6tJnVeeez0ZNCPwNwrq6a
MkdtTdCP8WUksj3YQpFp2l0hi2DfFqDN4Ly5ADpRpOLTwcVB7hhBwvaWG6cB/QTvCd9IaeQpqRag
oQHzzs5GzQ6dYG068O2mBkg8EHqSlzu9nHvJGsctdXDFndR8dgkJQDrTuE900fNzVIjpxQLPw2Cf
U9mZimZ20LTo54+5Nln0Qh2P1/Q2dbHLU1ZqwtwV1JM0qmvGV7b7vSyU+jClEk0RA2IgelBUwPn3
bvMy90N01yirYqhNLA8CHm+81vlo4v+ukIGQgPGxKMM190CX8TZx2XYwdobkbhc0eWQB4c2lf4+3
gBwI3vkXRt3X/RgBOqBhO28WCqmvpNln13bQtyMWnqAEK2OtYz9ZIRI5C8JZjBvk8MEX/FUIdXqk
2fNlqUjBJdV4iD4KaxJ80TpbPWDTRHBvZfLZsGrMz9ZiqQeW3+p2aqQ6hAJLfcn+fKlkOMGvz2T2
KcfEYW2It3bVJhSKYOchcWOxlb1ZI8xFRMNjiFf789g73S0RE8N1MAXyVrgtyQrzaGw13bJHhwfp
GzCYANIkYGRMOdlBQmLDWlECndw0RBh8X6DFVVunbl2k4BC8AD+3GNBiu+4/lKXZH3sh0+yyBjf1
yemj6GVJgzzamlENpsuEmcuFSyKGUkgfJmkfUbcTuFBi7X2ezUp9YXeJ7+DlRBPLVpWT7CX7Zsmw
MVZkyGzqNnVvRMCWvwXDZE+wewqmRYbV2LDqesefrKzlIcCKMbVG8qWWXnANw+EjsO/ILxrCu6LE
LOkXt3O0pzAgZ5mpqDtczJGtwDBZ0bitZydT2zygMUFzk2iNnCth5swxd31lrC00qb/VsrMuCuQW
zoYzbNhsA2yoZyC81SW9xU+1CurHdLLsrzqVXkaSGrfZzpMt0SGmpEjY2L3bvTAXgkxe9+7Q7+zY
0ffCUmGw7wdrnoEghsCdIyzaPJ1WL8PNSGOYm2bIe0I8dJJGALMno7zA0Wt/HLuaOyqHqk4hlNls
+uDMzppMtAQ6LJrtkg3efGlSILWs01n4HDc4SLZGb083KiaywhdzPuyimAxT3G50Vi/TKZ/P4zo2
vgZx0+tNTFRQCt9Siy2Due6zVROyscn62Pgc0tdUeILm5At9RlYBT+bluDGRsX8odEWsQzhU1Ca2
udA/wlTFZmyg0z7OgWV5G24B+lhpkszh1Qyp5V4UGf1k0taRT8ZLVjfbHjrXsVPS/U50G60DDp7Q
vjO/qRkbW52p9g5DxI/jhITIMZBzbDBOmpuU2IDNIOYGDPuksTsUpKxtOtP4Npth9UmQc985pHzb
BjYjzvWYtHW+t2NSN0iOw4y5VLxYFcqbPtHQVpUT+bkF+MVwZj+Pp+Is9ByOw3Oi7Tu8DMZuzAu9
l22T7VwvsNlyh+B2Dhwkey74OzpF+TdvkeZH7kTrZYzbZMcQAzliU7rerds3zWUSTSNhWEnm3i8m
fIed6LzogzGb+ZXsR64fD8XTZI8sVxkOuOKg22T+GNi6fWibjmFfvDjT7PcqhFRjzlX/Aqqt/4aS
hHDVEkZGvi2tAMNXzunmxdLtQMcFYNKDXc0lW2wrbXh/1ryh3YLTK5TchXQ0xiLyzX4eX2Lm1n61
1PmHcWFRwRkXVL0P5w2Sa1CEEUVlh7bprIdKo/05neZzmxuRojfLB84B7LQipVu3cWxAZGxjRZ1d
51TzOc3wZBDMYrKGLHYVf6jS2rgv5wXyrwtBmhCORW9FTSTiKGlnll5COq1T96PAOqVIvsiCgf1+
jskFcCPlPZTBsID0CGYqQTbKrCa/b8hsvzTrDBgVHF4szVVNhWTYM5fWtctHs8vzPUmnKVHAaSUu
pmWKhl3XFl4Lq7TNPs699lqkQH30I3VDKMG1G1AVgVihRDSRwHabcJTlk+it7GFshf4uCZ44Y840
VUdS/IrngpNxSTxNk9DKKkOx5xjr3ODunc0N5vzM24D6Ni+8cKA89ApvJj+GWbblk61uszjYJjYd
uyzru4aUtGHboYABeUzGl6+Yd4Tb1m7ErXTj2mRE35DuPje2eHCLxoLTm/0olmxyNykQTXhzphvQ
Hs2NJDxzVGieI4pyrstuoISMutHT53GuxTleTW64gCf/2CVOc9sCPAPWmdqEAtkOx7xhqpJDjEzr
OOqQxBKjTL5jFhFYQN3YvOCU7NyR8nFhaqADI17MXMrleopSUkYwKXQcvnalNcLqsrNDXIIblWYo
N6NUNy0PwE1MQDQI8w5yy6o2K9Ha+U05tNFmdjvke/PCwWIhq4PMO/rfwyiIZWviQ1Gbxd1od/kt
7BfiCE2qRuJz5ibgZWY7uywZ8O0MOJwbd54oLqZE3VgefXTgg2fkbDEEor4M23S8RTAmnkSR4xG1
BVKHvGk/FoQcbLtYqvtBab3zqmTeO8V040bGNPq47BWxMnTCwXvYAfWJRIrsGN4K0ajjC+RqI0jJ
WC870WTFNcEF3vkyALTfloFHKAaL9w/d4r2jvflCsE96Gw5A3rqh8D6VaKjO3Uhaz7JW4XfNBrqF
VcThLCv5K3YPALaKceTu+ImpcbsoCD7QYCpQp0PUVg9504kzWQe6gj48mw9WHoEWDTCSDp5Rnbkq
Gh5RTKefg14sI26r2XgZerdoP1spxyAKgHiQ+yLQgsF7ko7ETNty8rs1Z+sY91X23UBTfjmTGxbj
wfDYwJLJFFQD1ZyO+2ygmkwT7d2RAa8ZPui63+ObHzjjiMpCDwS7mRmaSaWAopc9s9JIGIG9wynZ
6NEaU58aqT2vXpedjrf2iVkqjFLCMgMBzcPgphiEXJwzJ+eYgPLEInqHSSZE2crtoUlbhak+dyQw
/Kgw7+CllUwqfN1q7+ihVfLwzoI+hqESUUTjYFI/NM4+JBLMBduxHa9JBl8ASYuIwrQ3E7j8uU2w
qB3WMbk0Ngip3rLu7U4M+S7UgiUx0MCvkZjjQayqljFFnLuzc4hhE2ILz4oBusYgxWXfVECWkaiv
nPGomfelMXXfIBQyuvu/2/qkX/etRAQe0734t/+PkHeW0OsQ5V/3Rz/ENN7zn5uj//yTv5ujWv/l
4QtBnIDwhux21/n35ih/ItYhLGJK13z9//+0RqX+y5SrjsRilaaz6jKc/ac1Kt2/QOhIQXaxTYvE
Jrb9pBX6p9ao+bY3qjzHtnhXtFrJ/RKafuzbDmVAbE0xFlKe2bifzpcGk3ZYxlcE5FTnhNe6sEeW
yrejttyNVTg9xitYChext6lFx17vYdTI5aC/JVD4fVQ27n3BceNYciC+yt0peq+n+qaj+uv7PZla
O4R7dzEBQ2ipspE59MrGlQKEVcG8qMLcIGtPXHm5CP6++/9lE/lv7eP/aeb++tJrs/enMVel7Lxq
KmvGHQYRfJk459F90vulnkoy2wzGSB5RwL3Z5JtUOjfTgP1A1V7uM9TFVsrQ72xeYJeXxphv4O1z
Lm+iGxoA/VFWXD1lTTeZFYRXAV7dbexCcieBSZwxeLqvBmrALH5ME+HQkqVHwm6f6eE5pQxleFSP
NRnteXmIEBp8GCwRXqYtXuE0m+IdDp78PPdEeeX04I6bYhk/RaBSfNNA/RybGX3OfKmZS5KjWHyb
h0gcMxJOURwaayLHQMyfKR7tsZyO7lCMh8zCoB9MYbznQPwtabyW1IBS9s8svOIQkTmyX8rCpf8F
/L2JHICwMnl0VEAE/XhXJxUAodEfM+PZpmK6AMaWn8+J97FdpHHA937RzLbw50ghfl/CK7rQ8YpA
tnw9U7Q78FStsco2g3a/dDlalWFEm4r56BxGkbGRw3wzkaW7b+u0Q7IPp8GIrO68GqYJuFEg/SCD
FBIs1n5q4FCE5UNmT+fBMgdUfpU/oO0muxVEen2uyHSmBhP1PkltKtqQENR4kQMxnWRtonGoN8U0
p34+i3LHB6NlFEP+dRolPo9hE+5UOBIB4ZjdjIQ/vgNLZp3z1GAw7i8CRqUwzuWwHiMfJtSIdzhA
On/KqV0qBSbBHmkRRcaDWUzEJje4URuP74Q80OjG65luDRaMKNJIdlDnzV2rVXDUhRKHLo6Co21X
eqtlGe3qUrFrxDQPvb6K/QHY24Mx1eeIVsjuQ9kI7e+4WI3lZ1Gc7eKOu3kiOW1P4xivmEY6beGI
vRjDSGzRPpCwNuRfbbd46NKOLpx0DjWCXA8iDPJ1v1U9Fq+Ma+mMNq2fdEAhSvYBM193W6DHpGG+
2rH7yh89DvyDx97Lt4n2JDgo56koIO401qw3kVNlvpX1CYMaQ2+DjJjXom6opkH51dl4z9RTXBgh
qk01UkpN8PBoAHbuxVxW6YfEMtGtuO5hGu0PaelMOC+BkcN8h33TJ9dIViWATFcSgtV3JOBgaJsN
eQBJcXAkJzVbhfe9nDgv5t5FSF1b5/o+1n1Ma3l66Cbo6xVQgi66HmqzOiO11B/dYTe1T5xIb9za
JJWGZNsoqvSjrFOAz663K0T/JaWO2KqwuWpS6c958cD0ZCfBK5Gz+02YxY6oUKz2LhSjWmK5aC37
2ptVROT0QG53fReP3rnRmDeTG54n0NCRTNQcUIN5dvdhABSbzI6y/brOp7juhfgwtbCpZSbvDTTG
+yDmPFSsreqBRhE0oIbGmJws70uUxfyej4UqrCUkJsP+vx37HgQCFPC9mgm4hYieMQa3CigucXGU
qTQ2FR1Ev8FFfacDYPvZkAJEEHV/lgH5OLdYF/83deexJLmxbdlfedZz0ACHHvQkdERqnVkTWJaC
cgh3wKG+vleQt9lVeatZdifPugfkhKxCQDmOn7P32hgC7KcqzwWbMnDttL3Mo4bJiNDKIyE9tez9
iB78IGWYz6uxDu1LQqjsYwyg7F4llbkdjdse8oaWZkIc+kEW9NLYvOEulNpG3pvctPN80oKkWT8o
Hwli6k9l0vN9KL1nqv9sq1saxgzAiFkUNfo10eprQYTW2o7I9ek9Wa6EBupQlMuyioE6HdOQdKjC
0jaBhnm+De0hYbHr/Neqtk5hQqbuOXsF3WBxqEe0r7j5l4MewwVyRfM9TKH693m/Zz6JE34oywMO
hzfX0h4NneQuzN2a7ldi7aZuog04sI2EOe/AiSZSZtH+/Q+lyb+Goz8OQ93zzPHDZwxfMN99eD1I
CcMPKtWogStNWLlz4A0OIY94wkLt1qkVwrZwwwjP2rAjLB/6pe0PZW2p6+T8dgE/IKynSNRFjDCL
BkDzGuSFvivHLN7QtmXlS+ksXZMjR6ajY+cbkIXpIccQfBDT1MFtmlkYavuklR0dIJh+r4PQWll9
1yB7q+74HdY27SVT6L9LsV+cL8XVP57uh+Fv4Uny2koQYJbfJfednlxwflFHN9Va/iPlzZ8FQoQK
F10d//Iwlf5cIDgIvaue0cchN+H3PiQke/a9T0iq6o3229/omd1zZfZv9/GHo1Gi/liOWGRdDVNT
iAOq61t6LO4LGzNzLMb0q5NrBXy27G+RhGanqBfLAc6cuxEYDGgpp/1VXJhDwZ3cdDya2HInRlqG
EUbCC59OdFnynFtY+mdIClv5jZib+tZmCAYAXE9rOTn8bU2Rr0hKuZzOH2p1/mR7fLv/8/t31r5B
CnAwfn70VjuWB8OjhB2OTueOcNfggOMU6lfm/+ZAH5TMf92+H4/0oRQu+6lmyJW6h4FJzMFL4m8k
W+AIJmlqzUThcyDO2Xq+B9n5XCm04dhs/vlcz7fswy2l4ncCtA8oFnjzfr6lWNMC2+I7cgiUz5ia
TOF15QqAnjTdb/PBEhI/qCx/89j+6sR/OuyHmlr0DYsbZMqD5fksA9r/GoJy3pAXVILVsa1TPQOj
sTp9K89VTjgim/jnE//lT+Amn0Vk0dmz/2FRkjZSo7bKGcLmjMs7Pom5312RL0WyB8TSFey1G7zQ
1Jtu8IlVX+3++Qf8LJr7897HPx7/wyphRmhxTp16h16aT26XT9d9nbinSpGcMVvpb6wYP8tC/joa
YhnMJ7Bd0MZ8ONtszAFhIUU7EBBSXDr0usmDTvrfCPN+sfKdBYd/H+XDOXX0yBGoNqQl09VnZNc4
K9Lmt30VtL+5fb860vlUGAH7Zx3Qx4WvjaFGLoF9WJJxXI0RUSsIDnlvf3NGv3xMfjzQhzWP/QeC
Bak93s42/JaP/U2BN2JPZgwj+tm4D2UKuwWNAOWxOhfKgmHtb/S4v9gye7YNjhfsL5x19u4/v6UJ
nXdF0qB7IPy2PSyjHh5b4Tmk5E3uoXWnJxJSCEYf0rORDSu5gsK+Ds+t5LCy3i3SCbZtQxDQubqo
L8q0egm0K2/JVn4uiHT8zYb5rKL6sKggdQd0iWn+/Iv9D4+BxdifyDbNT0vNRY0KZ+VkNp7mRZ6H
fsvVFAfTtjWk+XUZUIMxRx/kUo7kU0n57tdyO1R8OvRQE1RKdELROJsKEwRAH3QLbCK+t+2Ykm5T
UcK53oUTDsRRV6Q3DXMUrMk17bft0lBbtQkkQvlN5ICA5hHRiR1gOOu67q8S579No/f/a6MKzLbH
2v13dbRBtPdf32qKy/kcL/E//8f9e/He9dl7/WOv6l9/6m8hH+VpiKMHLw+kJN70v3R8QfyHx9dX
BP7ZhuLhGPhbx+fafxA4hVYvPvuraUnxn/53s8r9g0oIPATOJAT9AA/+k2ZVFPxcu+JYoFEV2rTQ
4jh0Q4AQP796jd2C16Ni3NlVUMm9lUxdcoWHge1YFzfBsY5SXiCM+12wj4uC6aIK8LlvKkAc1x32
t5RmVRqReFu6u9GdXLYMcQkCbW61RIgMknKNFpi0swJcs7mMEdfzlrvoWBSfvf2skXys4L0tW4R3
1kjv2UuuDJgUvcmrOjhmcdcyBDZV1e6B0pZvSz6xKyWuZkpRsRIvtyqbaiD3rE7SS4aNwWdY0aQj
hvG4n4Y4ul0wS1wpVFtbwNcl23WCZltlyvtBtIq9mm29z/UkqydbJsHnisDfV2FSxsuzMEW1qkgn
zegbdOnXwQ6LFxkRxUavTqCLacewjPYkJk8PnW0bBhu+FoCvlXkjjJGKZpmnNzqSbEPG2m6vc9Kg
7U1VOwXym7qngV0KwehQ9hYGr4DmDu94RT7aatAOmh2A5O1NpR0FBd8x8VvbOG76buO0RuTYzFa5
HUtFY0B5Wl/Dx/Lfot4BT9mz6UMwErOd6joXZjKKD4MFgSwr9yIa5g5mYc2I5cgnGv9RX5sXY/pC
rkTfd5wAYuEWAippQ6qADOL2prxcoLjdylx7XzM4Yk+A6egNQsBbILpOqj61TBEbZgQjYkESvp+r
rpb7YYmYUFe+YWhRQwKVWHmM/5yZtH9Wqi3TDfgc0mTU4jX3TpAWassvmJ6HsZe3dauyu9KBBrtL
5j4+ZKh69q49pa9FOoW+A4ovDyMIDYbVNArN8mL6dtB0mEaHHVgOPW1nrGwWlGFD8e53A6O0uMFS
wZLa1rS99BkIPDuDtaps237s1FAQRR4F4Mcdr1CYxpuuT1b9zIQY+F7UPRN3RwqRkeP0hhA+uizy
OKami3VitkOfVC0P7EwfoiuDMV7hkK3d/Vg1Wu3ZXrvttlcV5lybEdLeQ0N22VWeuEPFEtGH7PxV
jMSGBOP6zBCPh2q5TYrelfeAnegZ0Rk+5Cpwb51s6S+mwc70XsI8ZPqJ9vatFqa8CEO6OhunIai4
7cGROTXbsp02NOvyZCYL3Z7OU2+/Hrdx3QRvcVo4EQqG3EESYqwUxfcAnZqQWIjdgRL6GLn0ZXcN
TrId4ntaOuNiuTM6pD6994gDI4gT1O6rPebqpbBl9DmArX4RjgOCS4IXIzKjZgKdm+gFNGIkGYKP
3mrGB/Ye+nlg36Re2gRb9GyEcMWTNDeKZurM3Ml4Jz14mvmzHBCru7o1r36TdZ+zIo0YwodzJPea
daDYiXIx7gFTPaqoNLA5cmLjwVolQRniI2vTkXjGPDSMVgGKQVAIYuRJk28Q4ual253zodrxambg
BUGmFWRn4IlMsjMkndc8s3saZ6Udo9yEmhy/N56Vv5dWayUHEWfy66yMg9A3dS9r3vAFjkCXfdFB
0FyHYevvJxvlZxYbCimRuN4XbariJprDwGPKHeT6OjVwY60zPqQgyX3t2E18STBg+sQTVayDKuap
rPXS7PiYzG+0DeW1Yqg1rrVNiNWKnqPY0xCt460fDnSPvWkPpUpBXJqrLbYC2L6mcBBVVT3grEs0
yssDi41fPZYxIqmosKJrkfJA7IJQ6VPHjPk1n13caKjJQvx3srJelD2ZayIA7O+IsUgojIoWq4BC
AoNGOUwvbbZ1X3uoFS5rey7sPVKyMnr2JqsgF9Em2QGRTTeH5zRSXjPamIgh+npxxZUOZ6LXk8Z/
jBJHEhE6mnlFzCfAFADgBCHTlbpw/fxT2jvVgWh6sepFa97lZNoHM2J3FpjTV6AhyFNlOasYiCrC
98YSyPbqLPw8D6qHdz9GOH2gqqxv49ISejUs8wAjovePNBeW116Gpt06DYBlp3UbenFJ7+UPtldN
Pv8vUAnVBczRTRbJHRWieywnQYIvWI6W5Wi0na9IB8Mb8uXcT5Y1VLdIfJudCzzpWRJjkN9WTBNY
UETqByjpxvpTIavpAKSTLooZ2/xrYAKyAHPdRFtrUTHpi4Mcw8fUMsP3Kcwx75P8rT752guhhnWd
ztZJgcLZs1C5rvOJIDaq9bDaEhMrybCkZFRbf0lujR4We0uZnQ6bqAcSssIbGLwg2vT4cJfJ4YwT
3YkqlmsvTsaHMg6nC2ExyEILlz02lcng0kTDFpu+f0pAXr8RPTAmgLgadJ2eVy0SbohBGkLfq770
B+3e9Cq4NxLhihuolyYlzixJG7rtWB5XTe4nF7mrDWbfzvs6ZYV9TLM4Wgu/RXg5tPPGm/NPJeUY
fdLwmz/ln0l4tvZOLhEUJGmFxBu1LhDPdPJe+jJXcLFbVmJ63B0DAdF4o3vEzFDSoUJ82R5HL8kQ
TlhNgxnfQtiOpH121ToNJbhzNJTMl6Ys+orEg+Q44fTOM21mOAItDUf/MJYymq4XHp+vCQreZj0O
lDpeJqueHMuuufR6VAhLbBeHEhvPVgyKqOJMDhcG6fUm5IXoNiTDFMeml/Y2K4rwnkaaRESVSAAO
cfmlinLxPaLH9yYjl6yFZe4+WwpdfbkEXr4Z7QL/q+cnAa7rBgtDjGJ8W6LbwrJAdHdwOReNZT15
zBxIqBuHvFlHpVH1RqicEEUVIf3dVjwwKVuOIpu3Kb1cwuZ1Oh3b3HKvlTMAcZUTOk2g9QaNQ5iV
xTFe3O5bpBKxqgJJgK4XtfJYVR1MFVaEIdwhqIxuFjJ4EWjWOr4alza+tHsxz+veMdnnqu3ck6+1
VaLTzfrPZAECJurjZv4EXLQvNrPXn6UHVrSwWjCmD/d14DClIkacOhSF6LKvZh81YclVvnJ0hPjU
lC4CTIHrsqw0IcSiiZB1BKJ7poiC7lJCj/zSqRl6G2aFk6z8CEki2Z4IblFIXWNDQAItY1oya/Be
JEV2rlPcmNDJshU0xH7TBla2bBxw3niP07xiDuVEBcuZLXbjqM9fv4WdKJ9Vm+PBTV6ufHrtYg2r
gwASVI13Y7w0z+6fGhAfU/AxssLwtRiVobuNSPMOMnDabKJU6Hlrcv7Ky7wJ5/xGEzx8hftfm7Ur
OuqXIFZ3oq2C+6TTIdGcIqBtnNKshw5oBM/J4KMBL5nt2LuhKzaIlPAi9LA2VhaF6Z2f+uOFSbg8
a0R6yzltdvGfcTIsrJFNNrf7HAy82kYZ8uwXkCDNN6EromXLnkQKNrLn6qgAfwsvztBWplBI7udh
mtPLCEUF4iCFSuIMjUmrLdEBcIRmVSCZYoGeeyghWf9cJh6hyQnf6BuDnv2iNsOw5RXQ3yrjO/cj
3fpu47SxvMuWyWLAY8fPYgD5I4Y4/mbQAD6BwxgvaJtYb+RJINEG8bzcjU1h3lh/KRc81QumB8jz
9oSlI+ocKzs62nU6vzT5jBvV8I15YXgPgswrPTKDU2kX5Z7YDuJqQXNKBGdu3xJFP9ild7QtSRXT
5XWiDxHVPw6SwVEY/zL3iIIzkDsARX6+QbWDMNPLMjXvUQGk+WmB73HhG29WR+M5HUjtQiprY2IZ
fx/qofrSaeC1awZsJFx17KWevWLOsnWQjZN29naGyxJprM68U+7CTmbNKtoC7P6ItXvlYK2x3hvd
hYQ/Chk1m3iRfnFkeLL003oZ2O5sUGc30auaRie69xFvEQXAk0bSDF11n3FyYt5RTa26OQ2K3Qis
aNVPMtymArX5fiJ88+jyPvFgLgj0L3FEI2IyrodNaSGWFE1Qw0gcucejzfdmYTI0J3eYPpS8lYQV
1OiMljgVlzAqrGSfVaOR2ypKzRaFgR24EJMHbFuoCH0957CMlVJXGeCz4qYlAMlDi9ZW3nWPfCg5
+U43ZDfRGJoA7WySjIeCVjuObL++g+6irMvIpyZ5nOkvL/sYSbELPWPJ8iNWybx4zdNWVwdfM8/b
tWU0d5+qZbbfMTiW+BZm4yefyiDFJxNOqRNSJAESSLnvo0A6PXQdZaaeVI61njjT7JzFbn9yYS8w
re31iFMoIfcsyf05hs6NYxuwAQQub64cxpD+ud+OTntPsh21hEiC6SEjWqIiSiwobBgqrRthfTLE
bcIBGsP1UjlNv+1LQaQq7jFr06cjCTaVGycnV9O322Hd4NuFtjZMTlD0ZwVUtEcstuLLUBFzZwWy
e5tKyu1WTXN1RT66CNeWyvylYrbbR+2ptolFOCRRDL6l96swe+YjFWBenfqaMscex8thdPFGr/K8
G6qnDLBY8dnhHW7uUtPPmzpoEVZnKsnZ2nXBcFuoOH4rKO5wis+IV7CxAkzaoLWbl4OTRui+M8tb
CIxL/NBbLVbY70KhAd4skbYu8qp8o814Tmx12vSWTDa+ifQmP1nuBDxJ2stt0aX3xaBsQxxBiTpM
xuAnV4s7FPtyCtpskydGXYi+4jNVY1/6ztjXEkcnJO97Q4vhrOuS2fxlTrXroppwUgpWe+hOSg3m
wTgqWCPidfn++3N1HFxlEcbsyXuTdqxNyFHLC+Y5taBqSXKFrGz2A/BD6fAZeQhDXAcvOYpfEuSJ
nWYrDPy40+RHd8OcPnfpOdsZgh6B2zJPnZs5cKW4iu0aniZ/2s7JRxhsa6OKBvYWdu4J96C2p/2U
1uFXxdKfbyfm10+d47FjKlF+vFdWUB+tTlprGYQJFBXZoY2sFidYyRRZ72apfPfGl6l7r/LG2+dt
UR0LMdvLZ9fhcgRjAK+/n/pHrnx88PAc8eeb0EGitHTH1q6n95QR9/MMNOVlVmlf7J3CESdy8c5u
IjSMEE4c+ZaWAwPQUqNcXYeNY1ebcfBJjqlxvsjr2BjFuuRGRDpanNizSssYTtMyV6upbOgt1VEy
qk3LZh9rQRKoTe9DGoToVtjDZqQnzYqt4uCvJvh/W3fzfKC/dXj/b4TKuvg16DT+3xuXL9+6/r9W
3+r0Xf7YuvzXn/urdRnbfwB35OW2QbrQoEQY96/eZeT/EQmY67iPnbMy7wcPMmo6AXOOWDPEdrBg
fvAgCzzIdM6R4UEsRQHINO4/ENr9PGDCwUv/HfJWDFQUr3PwEeYfehbdsiiIQE+Zkk8wcT9DGuQb
Py8jCCbz8YfLc/vXzPDHKf+f9Jb/M0r883geXVkPHBV8bk7k504pdQyZ8kz/9w6Lzj4VZfENCg7l
m1O322kexk2VLAz9Df8XqntgZ0Q2Zb4BxJNIdgrCfSoH2gm/mRR9xN+er4MHKyryEB0SCvmR4XsW
VFA1VNF+FPJTX/M7GJtHqxDxrei9E9gEtGLSpYeWE7STzVe+Nvbpny/OzxORv66Ne04FBunnuKDH
fr42ZYT3ZipIS2nziU7XOZkqcvLm8Z+P8os77nGqZ8Ic+j43/jAUC7nI+JgK0FcN4qZyfIm8MD+M
OdtcxMLjby7sL87Jd0GWccd9gfbgw0gRbJBjT4ik93EdBjvSsZCsGL7w/3xOvJQ/zJL+vHLsQaKY
BDWbZ1h8eKpEUjpq9JNw72eE8yjsziR2mHuawF/++UC/uHiouQPEUJwPSooPB8KcwxU9P75JbpM+
aBW4YBaFba6+dYvyP6Mhn59JfAN/Djzo4vj2h4NNBpNE2HnhHuKuvZYR0CcyINH0LQEipyI4/PO5
ifO9+PBugsqPGIaxIrBOfbhXuRN5iw5T5PoWgbGa1B+C1BP7XjpZcOQbWm5I3wp2+CrEYWkIoOPT
lHwmH4XedT2p+6KM9N6tq2HjohFw0Gqpdh2QLci4bllu6TVV7SbK6phCvqiJ9qyqqF8x28CP24wK
wk+/OBvjF3j47SK4I0tI3/3zOf7qPaejFCBetVmL/+15HNm4j/6ch/u0zsSx8K3oOA8+39nBf7Lm
mmow6Y5EB3wP3azdegjIHsfUi35zqX/1vMas3B5Rz7bveh+utC5mDyQMmYtSGu84efl1DaBnhbkg
+I2I4t+PFDMUBsYHXwIl18d7mrVZN8Yg2Pdhklfr6Wwqx0b7qUNRsv3NpYVb8W8PUGwjGv9z1kbL
4M///oMSGRiOa4UCv4cH2B9SjJUfNCv+LTHq031g8SAI1T+mePPQJfeoU/Fqs/MM6haBWTONB6ZU
co8skoZAZ/zgweSD/+4PICrHoCDby6U+f0DU6132/dBclChX9zXQRMTWjimmnYQqv6aLDDe8Cs3R
ZthwaPFHglaq572lIHdqrYhR9XVMBrqx8R36OPeT/dgLGliVw9QsK/ybmghZWExZF2zTgVxFDM75
TWJXxTt78epIYu24tWW8HOYYFUgzEDNZqj58zd3FuxkFJ750tKCtBF6cH+vgxAQ8uXKKeROXPXAc
HKLHzM+RlLA/WbENaR89oVtGZnX7HqU2Xr4MjsAqm1Wyrpux24b1MO/qmKi13O6LB8tu1U1kVxF2
27AdgfFMi17hX1Sv7TQkV+QbJzTLl3w/kJ/2BfjBhBvadt+IcnmpQXpT9FpNcFH0Gr+Qdq/DKtso
Oz+4tEAP9eDQDtFDKu4ZimDycLMgurA9t7tZBlrEKR3JfQfgds/pnHMHYX0kUuWbbqFpexpIpIcg
HMj5MjYxNzMv4QnB90lMSG9K5XupxuEbJRPXZHTP+Ku6hcNtnGvVJ8ArfIKsjqrxuhenq4dnH3+N
og3UdsEq0fQyKNvmHtxS3D9FsvKOBrrIelTKWsMh8DDxBmRFKjtBzpxGbbJWC5/+VZnihV0V0mvM
phyi/ECzXu/qiPstuoHLN1id/860A4ML95ZFaMBc5bW+/5a1Yr7A/uC9uZkiVS7CBHgzpMpGtoaO
gTa+sbtozeIxsXJ6M9RYVFPx89j5vXxGC13j5LGLLwqWIZzSxOeJj4eie5AehRBe+bEl/VgnJzhS
awl75vuSujPdSBx36cZmD01AOCCmBf2nmS8FlIzTEvRBg5dnJEcgSG3i1qdgLxYKHHz1ovocuP4Q
05JivxZ7Wh0BcYeIWUtzGBJ7ugoWZKOrwiOmrWkgVa7tsqo2UZ1cl2bCTUdoH4b42uH3ZqN2SW2I
zvlDlQhIn7OsfLkUo2YW4ahTFhO4ljIweHDrsV+X+byb2jB7FHY8bXN05zsSMYPDaDXpLlbMICOf
wBHVTDSNgonnQy5MRFaZNMEuhAr/PJDOc+HO6lvjwAXLDU44TVfjU5zEAYiH1FVHy9F6hQmZxGMx
MGd3Fn+EDh14G5RoXH07Ip+OTdU6g+RHN0czQvNwfSOiqt5tnRbXBXSGA5F3ydfSBdrFJnAcaSPa
7UZyix+S0LUP5BDJ7YjxYG9Bd/YoRfWXwa/6OxF38yEerWqvQRJu4Yw5O1IGGIGKeDcNFIjT4ngX
CVlz2+k8MtOm8FZDe0r9PLromogkj4oO1LeuS5GPF8lTOg/ehdIwZSxGcBda9/F7HgXuEwawfivT
1MUkmYAe7HGDH4TtEwFc9Wxj/ZxXIbLSU146wyZoKY4r4WcXaTu8RpHuTlFjl2u+evTwjDFMY5b6
qgdthV3fGxfSBXOPeZ9mcB2eKWKeAb03VRTerr9cd67Kttjylwehwu6KLmf+ecpZcW2L9Gg+8zkK
+3K67YZmZDdsJa9tSo6KoWP1BM5j2U56BsUFkeMqjYtXQ5A8uQXVdO640CEMbhNZ3dvMyo8VgKwj
Qmpa22UBih2ChzSMXRs3GL9hBuqB9LVltfCuWc7rFCv3ypPd1ZjQT4jaIl1Poz2vhTc7lzSdvBTS
RiZ3WoZEhMpm3DWIQFed07OhcIJ2tWg90AMmGnOnPQAusl+wUdfWd5C/q2oM/UeKpGVP0IVa+Q2v
cuDYeweR5HYcG+fKq3vogfrSLc4BNBhWwGcIvU+S+h0CITASztwltjQ/pwQDcaI7yNgiy0nrnQTR
2a4ZGROMJrmv7aTahtAWLrBuXHnNUG+ITFnIKg2gpY1GfcJLGZFnjP0/mJfbwMfcU4w1FtdgGoPX
OsymrSPTeReqhCFNZKck2Xo1PRpgJ3X7RF023Yma9EsZuMleEzSydlhsyNtFfOAoK37ION83HY8D
WvhJgrKToEomlnNVgJ2Wpgk3oWoSe+vDRB+2QcMVQdqyhLfSrwHCpSxeL0Omu8/MupCHKrBI5gjK
bYp2QV3V675bvs8iJzcwh9ZM9/GdQVdz5K9b8AdO3a7wtLcmG0Rtulnes/ZvbBafa15CtV+KDtSp
G5dvNDzVSaR0FB2DDt5BrrUBCECweF7O2JfR25VkKuolwcMqvWdw+/Ymja0nFzEFVnuhbgOriXbd
Am2bLFUHM1ASjDy5ZSfXS+ipBxHYD2HeqUPTItSLe1Ja+64sTtPcIVlUBlIEPXhWeVMrPCE8FNAZ
xT5tZLBnSSHiUtPExyorL+e+ErcYSXNCMrP6rYm8bqs8f5tg2L3AzmzR/Iqb73yQ8m1R0+JCqzg8
pQ42C2aQ/vhNy4UOYINpd1No0HwLUzFqRn/eWQRG0kdvqiM2/O+NEM1pGhPngWBt/FL2fJtDeD7N
i8/IPnbxwANHH55R+RNJvpR6m3FvblQ028fQV8nOIhb9fqG3teuq5KvG2HAN8z/dyTyuT+Q857AT
ClMekEtMe+RC89owMECzad8hOolwgWRgy6Nh2i0JpIUVcoT6BFPShgsi7J3jmn41iWLZNVNeXjCQ
jIFlViYfYSviv6Fr3HwRk5AXGEbKflf3XJE4IA4hqWPn6GUNaR4ki5SeeZ311FxNzXQ9yab76pMA
f6laF6yWI6c1e8Nrg71kGydd9+52ASkHthqOlU+oQmM918lclmcwQrpVBF6fGpQB26yd0k1qguoJ
q0N/HSOg3hM7Oh1gJ6AxrvST12a0lbNIbFQ86K+qHhe+3BQFK5FDXyFZcty0grW5bIL0GlVMegdo
p153dgtdqhKM61ybcSuNjOF2yvRLO9c9fjtzmYlBIvMat03Guk0uWruVZsIbzpgb7NWyH2KSDc/g
pG5pwyuxOLhh8jy/o7D3mVsVCfjbpEUXBP5uVU31c1dY+a4NwV6V9pc6yA9mdPqjNNjww6wTB2YN
SL6cga+wOyEszv1lL88x7XF4jtoKd3NAg3LVtlZ0ipsJ3whMGNQCj1B/qw2KL7Qdo08zMiW5pJxK
4nJj7GRZwWRiiHHAcfyVrvwvvfKT17AKgCzYvM3jHIDRQvDfqqe575gFDfOpt8xzVIjhNsMtx6V9
A83KNzqzvjDjexZueVXnwUM68IXKK+cG4/+3tPymx2jYqzw3WLjTxz5gpl6p9gS15jL3QfSIhQA3
6DeXUlvAWskH9VCdoB1yoy/NBI01FdWar9QavMewZ6hevSzuV1pxchcJBUxzLKq1xFS0Mv7MIL7q
8kfT5OgsuvpJL9EzcWH8o97LNvk0Nf5lRteW9Lv+AiESuA+pi11dZU+ZiLFuV4+4b9AVqSNofbn2
u/raDUp+uxjIlWwH2Dv0tMkuo3UrLBxlEAmQ2ChxrEl72Y2BvC94q46yyICZ2McAXY9FWuPKEg6O
ywGyEcjjQ+CI4aaOUx+gVdh966WMaZr5xzKxqlOc+8FuSEamv2PymXkvG3O2+4+98hhgssnnlYUF
9yVbHMDi8JDSpPJ34OXkaS4R5IoEOw2lFOBizwVuB+XYbDryojfQVzWUh/pKePgvupqcRNkmYE2q
0cOYxBahGzGMGRKrZMoJFwKExiRMAgjCqzdLw/1m39qAdggfsIDcECaTrwOhPyHc2nU9dX4dUH1W
pTArP2HNb1MKeje+zxb3yi2Sl36ur6sg8TA8ct9TC5dkEUp9zLKl5aNfP9m9N601sz4B//61YOqy
YYwBm6r5HFreSyAhuiyab/bcdtw0XT63wjW3sxyq54lmKHYZX+KcSh2ihgSyR/hGDIMYJueD6feZ
lxHHSkPkFNYAIyAlMXeoRmrbUH+qHYNGLQg4U7sAOFYMN76j5lVWuc12Ycj8PSTQ7SZvGGeBe5K7
GfrYzopxW86lfVWzZ9kV7H9OY51QHAUNOGF9y6gM0Ggbqdestfx9DfF6T4vlARVjs0vQffhDeh1R
Ht50yjLbibVjixwluGpiUVL0T+ybc0er60XYNeiNqdzZAZvjqNYvblksW4NqeycwWZyVDTEK1GB6
FBYIlrBuqSU1fArkMc2XiZM6hTqUm2DilgrHtAeRWWbP99a+RnmIGKUpawwLh3peii32P3Flz0qC
pDDFVYmq87lzmuA5mvxvcEjERogacpt07Rc5yJ7ZfkEkBXrEzyPP9m2vo+Bqzl1Mo65r7ZF7D3us
qRmZ2HF37Zuu2nq0cYjGyNBbKZypq5Fqvqbu68In+H5Ag9Le3dmw1mD90eNbS7erzlqklvSqCjE8
SKu3WVEqpnS8viRpBqdPOTPYSkqhni0yCl7fpVddUCsVNhkjqvY3BSivU6v7+c0sM8G1OthKXt+d
3YGWAsjkbsfCH7EhptNtbkN+Wkh+OhEdN5BzEdxlNKLWQ8Udx40WH1DFOruJXgrBFqPBpNxhfZ+0
PiIN3KJWmXYxLzp7qUpfYHYatgWKUnYCbnUV4+SljJXZ2i+dcYPcKju2EDT2ZgLDVcnev+A4Z41E
me0XXwyHpByjE8PLhJ5LozYkXk+3bMAexk646IYKZ0267ldIXeOrU6af6nCRV2rKkheZL1/Zjuv7
eFQSm522DBGNBoZ3qYcL8iWfhPBfOGx3QstyzAID3S+jHO7QE6x1QstNTF3ecaN0BhfbojdU687d
VoxMD3FloayF+AZHrebxaZr2f7F3JruRI2uWfpVC7XnBwTgteuP0Wa55DG0IhRTiTBppxvHp+2Pc
alRWVNW9qE0DDXQuEghkKiS500n7z3/Od/Zu2sTJnqFPvNIpbW25BOXr6vzASQU0JMAHgY8SA0U0
5159j1ZRP0tjDKMuTOUH2CnnIRsy4DItkOd0ZjTceEvW3UG6+gngJ3xAj1ujAY4m8StxJgFcijSe
bwSm3ie5XneXummLnRdOxWmYaFGRbeztWqOpDoaR0lasKBV1fCs74xrEg+N2jb8J8MIB41/eRyXM
I8UM81vaYJIq87xD4fB++gTmOBzQCCgcK9mpCsMyYQf8SsNMO8zApBWETn7i8rsPhYdLrquT9jix
X71gBwMb2DQZ7vGB/TGAOrlc4enDUCiwetzPuSm+Bqwy9tlYCkpOR98JIlDn/hvxbbPYwbie3F3X
p9l3w0XmY1udc3lJEz0/LRVobWowjS7eBRA8BGaPrnwbPbffGfPIpLfo5Yl4mjjIoeTpOFPJwtbk
Mfd67plhx+I5btN9HljTFkZcQpCfdtlCSfc5LoiZ6AGsndWdwVtCICh4dvBZLZfruqvCXb4m7zbC
XxRutLpl5eyXzQvfqHuuyrqhAIp7p9VUN02ti31eS//ipqG1L60x5TYX6Bqzt3TOLOXt3SJ8Cv4E
dNQjJqXheWzn5bGIh/YJ86q4NgERkHAl4W7WELRmI0dlV6UsjxhpQOtoP+vxWceLh5PZ4p5YmTx/
jQYvC2jNasD+Nho76AitwL5CvXep+3jf+gla+twWdOsWPAwAafXYQ7xWlXsjHuWHV6whdd6T4snn
/nPTV0H/q6td2kZjhslDz0sdUIHkrlxwu3uIYfuYVvHgBWF1CId0ilz0y40MzeR6dPs7kVjuFiWH
3vGYShyqhG4Q3In8xCO785gbL3uEveGOQMYgdmO7T7Yyy+HuYGsODdisxlS4cjOEbXHtYiXHhqpe
fGCf6TYtcJ+qCtodqXn7GA6BHXWYO3c0jMAtXHT/wEgZ8/mvcA2lhseOXfJTQbiFnMXpxu2nHeXg
5gHp44uaRXGCEbtsmmUkBJ0e21GPB5RakoxBbN6pNQjt0Fm5qXuDcDRA4iON8SWG3KI9O0H24OG5
34EJOMfCJD7P1QKtAlV4h6rTX/sqt39ODWbNbZUDnecMjm8WGwBm5Bjf0hXmz/7g+zgZuXlBuvLy
ITz0sy1fkT/kfR0o/ZCMgX4jG5jf8sozFyPd7a2h8285y42Rh4GYYoCm2ZqD/UunSXcEHjzduksC
vMcMy/gnGiwnfMGR66p2EnzwgnsehYPK96lOIMhM/CBpYawXTaj1N1F0gKumFS9wR8eJtWPl1vDG
lCPDZ56lPUZqXEwE/+eeMbho4m456XCWDYduk5VqoOGzY1291qAXngtviHdWGrQXlQDuic114xJD
vZuljCZ6x3cl0Abu/KN6cMHLHippmbfIIj5/tQqRLxSKnuv7EyI6Z1lwo/gmylsJ/bxKbWgF7Cwj
ql+2rhTDbVyWW62giFLYsWMCwk3Yye9+6Z5rPYXP0CKg+alkbSNJsOdvfWshrj69LmoFC2LT2adD
tjWokdwEkjx/M2fZOWnQhFjonJIyM17UaGTbMEO7RHYvoixdsrPE0FhVqdjrhqmrxXR3hAnOMDsI
CtEUxOkTJ1h8s1lXecve1DwViYoHhEPcZgzrqAMRuhFqJAUSGCmGbLYqxk0DSK7Zm0aFjoOikT46
EIyvOPQ1Jzv3mh0wC/noDXMFH097NHDKSrGlRvDw4s3S2/pOObWwuIHBwjQT2R67ImGI7JhWmq0T
i+5sOLapNzOo6X0RKPgRCbKmOfreG7/XstdzBRar7eEmO8sA1JWJpbyL6WJDuFla52u2Ww69eOhD
IPO1BcEgaFcu63qzLIAx4qp2YudbeMVKYQwC45CzQ+Dxhl7y6k6F/6ZneoPYSDXXJRaBBxaf/smz
HefZdBOCDJ77m6NniJFGk1KFP7BCNxxkjKo+mTzhiAILuMyo/Yh2vQslf5NTtENFGv6mX6IWznPP
R/glNnNJlwHwNuyqqrqtW9NmxdDmJu73UBRfreGap3iaJ8AibvZISUOcEOA3FM+dxnuffeHfujIv
f5Yk+Ve3dnJL45546w0H5Jbqk+ojd8PljNWNP9cj1Q6bEuwyXJAK018oG/cxbKDWRk0lrA8FF/E4
dnqoNipIvbvChDwRBa1K7oxFoO2mVMWkeNVNFervpgaJxxIpfq0wav8w+OzvDMUrn/NyFiePk+Rx
rrPlFcJn+lYnNh9N/G36h0390wcqsHgv8XlTe7FgIXAy/JWKIzx2K39Xc4mcpSEEj5Qm34HTmr7t
BUIgZq0+qgmybZQKwGLObe28GG6VnrAJz9fdOOIRs+wiMn1AkeYcZGcPmXktrNOSSosu/lgQWfgA
NGX7I6D14Lxw1uZQvZTdoeAAiPW9UsSyBveJh1f9a6j75s6rQUqwbDCcjetCiuGYRzlOYbxnyD2k
NLFRoN2YmGKthGxSUuQ3+DhIi3Dbp0KlkdUd6zLNlEfca+dmJYeS2q7kIz73LtwUcwmMcnYRIQWG
3Gtbj+VJ0O5La15KvkY08ivnkEaSxiIHEeXW2pJiB1n5pMLRNLe6qJprbhgB/KeMd86G7dUcGJPp
dR/slim6qdycxEZWUmmxeL79aeXdeI9gPd6ZZtw+uoPf/IK8WF7j3CvOC27eb8oCAgBHUl4S4RtG
ZFuD8+32uvlFvy7mPwO2+I8a68lbTu+FTxbV7zwaH9q+jujyhI4316QiuFTDLVA78aTcFlM9rDcc
zSJW5gPZavGS+FX1VSfdixWiitaKE8kwS3znPqx6iu/ctgCaMM4fmMJTP+rQTnvOU6QHfaT35ag0
sp4bDqraMwbwIvdy4IBheHIxz3nagt5PtUUYED5ydjNPGs6zy9aVe0QC29OBgXaV5jy/tqCg9H5c
Wi6dChdtGdkBDxubyBVc98Awr4dWTKyt6t6+MXsfwc7Xeo5cz08++k7GRIk79SZgdOZr3Wt6glTb
PKS8UcFeBEo8KxaE886sWv+Lo5EYNmFWzZ95Uo+IK6X086P08WFGbIzxknI15+oQWzwzN7pTkxf5
Ye29903okZjgyH+VxM747On1yRZ64yHB9EgvfG2F58Sff3ZdQWKIuOK0YbTmc8IZid+AZYJle1HT
8shFx57Y4/g/knIpv7pkjJEstUv18IxVxLIurkbC5FkgOu/gkDZNtz4KNn5QfLXVxuE/PFkQ7Wh/
AvBV72TiVGw6LB+HKVEBpDNl5Z8xCMiTLzLXjspEm9bWN82MZFbcfnazD5R4EhaPf1Y381VRGJje
R+29LS1bB5YYDG948KsC/G3hfOWlNq/mTtQMuMtsHea1ndKhgiUqcz3vPWL0LPOC+gSdn0WZzzLt
jlAWYMJO9DxNVKzWTi+LI55tdK+5n65eQk4TTSq/ncEKr1xDhOcct9XduDhGueHXVue5U931TDvL
ll0tM/5c7IVnwkRh23dgtiE0zdQsv9tgwOAZlnl2lwbubcne92BDbn9Kq8oBI62M6ZhXwNn37O1T
yNXiwwVx/GB4ufg0APbgvjYvs201X3BC8mfHp5OG5HoTIv6K9i3kaX4xksa6oQ3ZeEgM+58ZMf6z
5SU0BS4oHtxw8IRY7RN/cSykhelLmbbBOtOzPGViviMRkt6WWmY8tzmq3g4g35/NYeBR+o8NE+K/
sktgQWELStYZ480f/p7FNrwgC6fgMEM+uQ092R2HjoQwj8QVJDaZUcxMxmLczIevceGR0pHg3cuh
sHDfq89CKjcKAgI8pTRJm9QsmOrJI0HMMX4lR1p3dTI6yDKV58MYr1z4P55ozhQKLtdaZTfKhgY8
umiDDk6tkuwU/dM0ovJkRj80ELYL+1BNBZxZ3EFbD0Tppu96wQnFfQLvzGZsnK27NvM+85o0EDxq
DUqaG34OZg1IbrpapabgnzVa2iv64z9alWg4o8CF1kEbddD/w8RWcSnx8glO63gomRvMOyGmuYn6
fD7VFpalEZ/07ITs3a0ZPlim+nkflgBOuZhaDExYzJPQjyq4wsGmr7wdBSPDyaS/LGom42oye+bd
suAA7OQkTHIqMf7xu78aSf/Tr+Cy0BIB/8afszrn/nLpZTxL5BB24cHsZP4bebWUUQCu92ox9IM1
Dd524OEMFUilZ0ps+l9svPpTZ65uPQQ316oLPmLQsoIa38Y//un+s22PbPzKhMTLHuJM/eP1BZts
eBaJyQOpb+6h5JiIIRGe/Cff5g9mxWrc4x+B45GPALd264/vI1kYCxVLuuGTmXwrtQrGkUBQD/20
9H7aDPDcIwsZ1YCWtzEdrw8Zh9BpizBeXOHZCW/LOSiwzfBhkdSw3Gqnx7pfxAuItMx8kjSLvvzj
l8b687Xhfm1armtinRQB2s8fNs2WiCOCBNfeoGxuCotNE4NvIg7mcSE36P7iJSxuGzNrfhAoo+y0
ss0oHQAezWL2tpgZ5i83D6e/w1v+r/mv/2q//n8KgwrXhc/Wf2/SfvqosvJfbj6++v/g0f77l/0b
CtX8mwMKwseO7a6cn3/3aPve32wMbaHn/XZoOyt54v/0RDl/o0idQXC9EiAjrX5dBY0v/V//Cj8V
uytfJZiWXByh3v/Eo72SUP56s1tL+vC24gjmuwGz+QPs0rVO0HuT1+3I3txZ4LWwbrXvSApJ1CEx
0ix9FkR0AKVwov/LK3X392/yV7/2n9c6vxSWWmzRIYtsYf7ZToyzya6K0dC7LsaUbSyyvpSIjP8E
ceX9AQ3zscebvofTnVfesfiWfwB0YAywSCBxgY/BWI6x9pLI0CkiMRvZje59TXw9tykkwonT87C7
aHIRn6RuqCaQE4JPqpneAWAt083gUtAO99xlxb5Mm87NnDMV0+vwr8JrJ1PUanfz0BxjGifmI0rQ
Nu6kf08C0y2uJdlRGGXek0PIPfITm7/QXxi3F9Jft6KxShM6vbomxcgmJYMy2XBs3OOskKi9pcJJ
JxbjyTJbYmyycpZ76k7six0o48mn+IEVdRPejk6ynlaRHZNipScYxvxMUanYQWMvNxZUZtxQXn+w
Z9O9CjFHHVwwPqeFki4nmjrsVxsSpUZxFH5rX1jhe4qRPOvHk9G6jXPVEumTB3SH+JBkxBk7A1sb
3Ulz8B6s2whMU9J+IMWfyEhVIdQcCpmotYciiz1cXTRiPkFdmI/3lZMMv+iQMH8QqldY0miPmun3
rPnS0B7HtzFJsEMQJ6wea0e99gzyuyG21x4FfRXU4ortoDzSQ6U43gTZIW+Nd683w2uT/gZvy6Gc
xqde9dh78BhkV17uTPpIf+h008MJ4M0qiqshmKpDmXrFwQ4SnEt5GzSXmnPVKS0nwuxDOj4lNEgd
CF0nWyof2B0qYCVLz9utOMd9wNinL6yWWElCv5oOhRHeVnM7XgCtJPsCneraMcgv2j7MVndkxecb
KjhayFm7laPsbifdW5c5G1MZVW7FcJaPMXO2UfL2dywrw14KqIwBdV0GLrBB0DTs6V69AqYPXv2C
7Y5EaO2mxL0KrNbZqPU61wn6YMtZ59qZu/Bp8JqM7WCvt6PCx+CYk9rC+JQgGSjyxhBKU4JvL1D2
Gc6LxyBRobUdXIwoTTSHhkq3RdOiMxNoGN/zoHcsqo1xzPMSm6gyhRoyPi3W6HKmXxb6iJzRFsMe
+uVyE9S+87MWsX4wnRpBzsdze5jrYH7kFOn/WhK7e/RHFT5DF7EBkKW98Z5n9nSh9Ew8Yfpm2sGZ
0fo3Ii1CJvBpaDoS2W487i3DwC4TrrXMI1v7hKxSmzQnXSTjT0l1LdT23Aar21md9R4Eaj4svjtH
3JewuIaLl/9UU1fejVVebNukRwzIbJetUHtSNaHyoBy/lzV4WXXTuC9qx/lmQSm/sknlxxnT3XVb
9Olp6WDEWTEVtbycznDjsRe6Mt2MdFU/WfrZG+3wM4+d+MQgD+rF5RBcq3FMo0RV7rEwW4yoVOCp
68Xq0t3srAtTnK+YNkbrxmwW/KPLUO/7scm+SXlYuxHn2kMN6/4RodH6qKhtuMO71B/iFOwU/ij1
jJ2oOZQDhWt6Sqo3/MftC6x359kPQnFKFQgUSZor3rrFUGCW6YvxIJXibEtknSI60OtW9wnOoU6u
UoeaS9bMZSCe7SZr6JbiK98wRB3ifE6/49jx/KOYzX5BFnab5WjT3is2OsvnXeM1+4CVyrwJCTcG
27zvOFclZksClVYOj82MEXbbCXnmgyuN7VnNKpwbkh9iszIy7sazTGlwSJGl8z2+ZFaxDu1du95H
P71oOVfnxZktwpiiILEaMNGd4jaw3l3DDYErLMOpNf34VTl2R3WzMYwGq1W4dLs4HvjYDBQpfDCv
s9tiLz1eJehItDHV2j/RrILQ38JHvbcogIL/4YAsjROay+p8kje6w/1yTvE17gZj/kF7UA3gFpn+
UA+l8Vj3jvzVxoAs8DCnu9HHVboz+57xYB5m3W49KGNvXPz0eVTLMCUR2ffQOUBxBSPE9I0tGlOz
N0aIIVpFvW5RZ8QorR+THCi/0Glh7Suw5jS89a3+YdRsA3d+IcUru0bzrUXSjsx2sT+zXtuRI5Zw
i/us25tlom7HyQu/lLM0N2Y7hfnBcTVbbctjHxWVS9wc5oQIb8T/ll21lAM1dLn6zhM1h8gniC8Z
ZG+hWzLOHT9AVSwFyKl0ATwx0pzNsrvI4aQVlLhK7pmc2DfpMmfloSlWp1KcuH0VMYkt0z74XdpX
EYgGY7c+d4K11Y9HD3ItPRT0XjVr71+xNgAWHV2AvGWU1LCM2wuo35i12GoxfIFqN9cmQXri6fkp
U8fAEdtU9R3pzD5y1/5BuTYRWmsnoYpJdNNl6zu3+TB4N6Q2uyhp7fpCLwY5dnL4V1XYjnS+Ef7f
gOjK6wgzMGJSuHYiGhazB9yHtSpR0K6xftBx3y26s3eJGQZfZL+4bnuMaRNbyFB9d/NvEsNaxmhq
msYJbnLeCte2RgRmsQ3MRt8bRXNwtDfdpWvF41KMyYulqX1sbDwyrMYhJckU5jAdf8hMeCIv7L/T
W5ygfGzttUqyXEslWfIWfGbWpkmbqi0cl6lnLhg5HRNBxu2ugyW9EBnZkV7ngdy36iDMhhZL306x
ZVFsOSySL05FW9zYv4svs9K5EZNFkmb0jexh0trcwIYwr9J43i2AyzGXEcZdCzWNZrEizmT7bC3b
5Jj8KQbD3Y70cBZrIWe1VnOKXPL9+MLVRlT5Z91gklsKz44qBJS9kA77gSCvg7sxpdlm4ynLoRLH
XhtBYXw3V01BTShPuZFQLxcV5yAOQt/VWik6q7VdlPLc5cFjrwKQwiGMB++AH+hkp1iqNjZrsQ1D
fPcLAg0NEiLI9GcfrL0SFYpcCulLUvkx2Oal+N1B0Qbl2kfxu5uiJNuuNiHm//GEnUzyVydAhHHo
9zWgm7m9UrNGy6dbBw+/n7g8D2Wf9a/aVfbr2OK58JOAtPd6VGH767HmIK0f0B2dt6b3ucjCvxdd
PL5Yy1pi1g5ZcU4CR9LBZ3P62mEIbZ5bEO34dNlCsX3B5HHXKrncFGY3HLvaF38PDZu2nd86iRe8
TaqgTHGyemyDReBNkt1IxihesMDizeMGLqMVyQPw2y26X2FhZ+l+WOyKxqAxnx9dZy20Yy6A4lBj
AXCP5tR0l94IU7WbIVFe0ryS35oOIG7xOXrD+r6AQYpZl+EP9gQ3sQyAvbp07ViOt3UlMPp2iYHg
TRfSsOxEYszxbUIrSL3NE4t3Xc7omEQUKEHYFhyI3b07p/bjgG/dgOHrA4rKB9sezqHXDsGe/hgO
HU0ZnvvBh9yfVubECRi+LKqNKFjr5aHitGYHT3IZ7Vc/Nb1XPtT5cLZE51whLU6XhZtOwS298J+B
xQ311cQGuMUZSKIMPgMIQFT6sOPIKid5tdSl8REga07b2Fhga5DP6tjAsmpGsGRyGPZ0yMEp4z0J
u3M6x/hcyiF/6bCDZZcl1V5wcjVgybLpeoADrfHLtPIYZoOFSG/yVDnN08ituAnS/A1KF4UxJOf1
K++2vKZDLMdnXDmg+LmZH2NV2leLAJMXurG+sP8pswgzLEsMfvXdzA/RR5Mnphs5uCV6dEqzGsYG
SjLZ97XukzbtFvfnP576/uCZMo4x9pkWoiBVQdgB/pRFYaDpvsyE3qHHl2B2kp91Vj/CEnhzwurR
dmserD58bQ6Z7yofln+S0vs90f514l2/f2ivs6DJ3OmGf4yDs1oGe1wEMLgE4k8/9DKJfMMxgqNI
V4m+GGSF9zas06+aBweuMRxIANyAPL1Z0+yeZqPuL56s9EOR+eH1+stQaWvaN8Yo5zdogTLKVkwF
gmHu6zsoGk28//0i/n895mmWMDs/vqqs3mZKd9mn/quwYgH35f367/WY64+vdP74l7vu4+uXSv+L
L/03Tcb+GyFl4aELEmYh647sQRxG/69/Xbu7CcyjRgQBld72v0sytvc3SOeUxgAKRU301wvn3yQZ
YvNIDFxWoAUdl9D7/6yfxv59Df71GiXu4aGBYmHzaLxx3D+ky4yj8MRGTu2h7aX4mzs6S6HTpLeG
kZsvqaut1wB3SIlG45eXjLpK6xzUUp+CMcsfa2Fnt11LhIxT4yy+yNuHT0utQ6hATWJ7F3qs+vSF
8EgMzJbIwgv0Pi55advbyeBcoExSEpTUPfv4fyKd9sOtrM0XygMnKg/q8SlzZfWULHXNboVjU0d4
8WhTvHH2liU9dXC/7iqyHmT7fHdqcDrpSkZtCn1e2zOuVndWJgWDtIkGpjWaUdcH833Yx8O8obCj
bM521z6wbqiWhwFKtXPy0qV6lGZAgxV2xOGRZGNFHZgYwfFiJBY44YWdDic7AXKzoRFFfpFiAFHH
XhvRw8G9oi/9VIfhGfnA93esVe3uHl1YfhEOYbeU4Lob2Owl4VeD0vNzsUjiHG3iCtVO+w4VQflo
cI4JQ2gdBpaHCji3X4/nxXCHbx37uqGzDe5baffWE0SedakXB/dkhlxSDUB/PFyl7OJTaZL2D7yf
tEaJ4eR4rJg3bdy1cFLWo9kmnaSgDrojA50nIotiS6C9hbP5JFST/ehLkXwhhHQsz5R/U1Eb4e8U
ma8d5LRERKQWxivfsvWhpj2SZKLboW6wroRSwm1+U6qWPFybyeXoriNfYunk4pQ0174zhHsPOYd1
HGkmrQVGFxQkCUo70gvngY3kpEyQ2GGYkH3VgS7x0i0FlPiFBZhUIiojxetsGi+iLj77iquF4hIQ
olnV0PCdJfkjtieIPRSRQyzk9wYY4kW5sVgMwWJqPsxmwqOX9UzYZRW8CjglK65FFc57KgGJUSY9
RH4/QUVpTJqXB+OYT26yxZ5CPQtUJZDLVYjOo6sH6eSUehDhvbju7N4jpoY/OvqEruE9k70tacY4
kKsNPjtyh1ikoEi9UV/U95jf3UlvvCxhEvOFDeIMfSPFJZaXEzWLaZnLs6rxCPvB0k6bmSHqMsaY
i/K6fgjyEWRlY4kWfii5MumEVO2I4QdJsJqDAhNCFI6BS4nHoGifDyBYOkdyWssH9os+fe1p9s7I
6KTgpOlSZX8zWQYxItPHkUzMDjwLNhOTChLsErg9JE69N4zwSF2VleiGUJs/MAvNCcadtFjD7yYo
Ng7SHKnbKDXQGmHUWP5Gep33w1n8DiNTkMAlPdA3Il5XaIZxw5SUdvsMvEu/xzyN80+sS4mo8EbH
3Y/zNJvbfOKNZq6o3YLPup3U043AldhfxwPg34hZ2aweGXtE/ZAGkMMwsMfW+MrAwOhr+mVBN1FC
2ihC+DLZxMzwsTYcx+iGAyX7ZOale2KDlLSPBW6GYJcZOsx/jbgaLgMJHT7YroRRNy9W+dLxg9pQ
TPPiVzlqeJxOjPRKdUNrENNy/XVqR1lEvQoMDqF1b8WEGZfym3ahNqo8Z0x2cS4LdeLKJNQkM9vf
EEAQ9/SQ1jd17bpfnjHV1IbBvsjOPcPTT7aAHblMPINb2gQ553IiyLhJTPZzDe33Gc8EMEqzwBZZ
FoLkqylbJIxA+pHvUiEbLWDMWRi6mPc3RcoRcMMN0mfEz/u2ifgVq62VSQqe8BevILypgIqb1934
Y2C7eD3Q+P7a4CSg4Jl1KSXMVCeQ/mLSZGiZUF3sxNiSBBvJcOjxGudleEepECfBIE/DfW540707
Ub0l0tp+qIY6FdHImEkVQ42EFreEUSndmqwTyYLsSusRU6jRtbQz2c5rpT3Ut+43UTD0qPAcEwYQ
HpHVbjJM8+eUkEDiDDXluyQzEgjSAeqUOffhRTYa+YuuW8YOyJXMl7W8NXTTf5gAY9+z0cK9n1r4
n/oh3zPJxA88LbPg0Fq+emqQsX+21Cl+2aE1Po1dNe6ZxB5DbkvQ7BCE1C4dmsccGTgn3pTKM0lS
7rwAHpOjVbXOtlID3ti6zjkUCz04EXszxpygXNPaqvR+JD6ovW2vanVVeHPwHeLS2dTQmSIzDonv
al29++Dtk23jmvZ4NO2e9P1QBlv6p5sjNtlm16Hj3rgKPOSmbQA/72eLX1ibCa2KoOMuxP0o8kFc
s+QFcBi1c8BpmedgUjEtTRXPrnpA+ZWiH9hWYpvGl06l3WYGd4mwZYj7oZ+d67wtwtu6w060BhU/
eTR3F7Bu6kc+YNwH/zwRYZqKhLGmggHdztyoXGfqHqrM5s8a6MAtP4t+J1huvkB0JgCKzrg82Kv7
JnNnSHyxhwnFz3+h+JbPMJbz3RhXmb7h3at/mIu5bCdX4wHstIvSLfJthtuK/cZyBysguOHkAqAl
rCs6rRFY2tDI0hOL/XSDdbnbFWEz8HnzAUVTpOPdm3hFiV714Xxv9SyHHmvoWWegd927bdVcYIno
cQzEDeVU27FrhpGSF6V/MvyJd9yX1IqVoeec3LQu3hr2CMktGgUZDDMX9U+oB/ozdkpsm8ALGCAV
KhBtxTCK8v2QDP5jKGBwc38p/bMMNPhUWu359/w7TcHfxs3MBBM5EKfLaoIzEOBYDWv3XuR0p7ij
4s7Mm2u9TIaqocTR+Y6InrrVVnIwo34UWOphXkb9Tdy1wQk98GfTSftvd9TDqRxdeUEm8c+ukcl7
2Ft4mZU/tymB4yF/Luu2PqRtpa4oPTMPphd757DDIL6BaF2+5lZJSiP0WOFHONiAr/sgM5AyoI6+
Yn0hJ9/lFcA8OTvLRxvS5rRrJ2f+yGYj/tRq8olTqKFO+MQK7J42QffizjLc7oo3vs03Nl+OG7aS
Nc3fvqpv2yJYHjiYptspSyhtEVmAwxNiw8LFasTJgaq65j0E1sDnjSg/EZQFG0zMuLXRbit/1M26
scjmrv5AlXOvBBb1D6fvFQufru844BnxVcL+Aai75RYnYEPpLuGeOUc5gtmrDpL2czEbAlDEEN0b
2nKghoegSR/SZp4uHXHspybs+dm6rqHINyCuEQH0hcnSQkTY2WCu77jrz1tyCuA3OOywmsPUlzyD
o1zvO9AQhLLDYeU9k5XsSL8V27nJoRk709y+B1nOoyYwwuUWG64rtrKf+g+tG3fnp/na+dQWxa2D
1V5s/LGyEOZmFqOYx/zpWndWLyIVmMtzsujwKQS+HkRMAgtQ+tRkHTHV9Lf6k0Dqcof0sZh6hB6B
Y3vHDSb40pwtScJiqYr3iiczBp3ZPacl0Wr8OTognbnqoPC2iSAkvGZHMwuHg6tZb1LW1/n3mDEN
EiX1aD96PHW20kv6F0jm2aMz26hvKNoF5N5W3Ze2doe9GS4g20nXYdYFB+zNK9bDexy8MENKxbWL
klXMt67TktRIJuehldyoj0TuEoQLMoE7d3CNL+54CPql8vb2HOS/8KhSwlGl7jMts42FOmp4DyZZ
hfdmyf0sClP8Xyv4nKz3rMNz6jX+j8IflrvK7IyfTVDlj+acdoRWlK6uYJv437iEM3lZEtVgnlZu
9eXAT3xZxmk+4tcbrnzpFtlWIALlOF6HvN576H8z5HruQse2pYIJOIvx7CVINbtSSXUwNZnMKu1Y
5M6ZSSzdlc4OQxAw2NouyzPIC1Y7ohzm1wUsHiHcXM78v2wrtikN6fvCaiS75gKGALQMcNt1kl1N
iTJPVtW/TaYmpUEv6Xah5YUfxCar35jrMOXJ85Q6wSnrJHcekQh68XzNMsZm9ZXNI1IRNy/6stMX
XGfBRnQ2i27dDBtbhd8NSQflOd1pIuq+a7H074WRTocAcRX01Bz/ig2pbhFXuf+x9cs33cR0aGhx
aCqdHkaOCGA/8RDdJGHT3E21m57aXBLNQhk5WmosrtqEiswRfMu9j4wHg2LgaETAtnlCJk72XjCq
I6m65J3jjCJEnj5kNbdm9rScphcYr1hwsK0OTXwl3SE7yJAo/5SQuu0pq+IAQqJ3zMZPpgd9spqg
wEDqA9Skp1N/rcV/4y4fy2CNtQbveWtjUoQupc8jF0jEPpwUf2trDotk76FFDh9L0H4t0uBsVYp4
fZwyjcmUWKQ3d92ZdsTlwAiU7Ic0ZaoFvE7faubWuxSHRtSygkO8pPA5A0Vyj395DqJ2mrorjzLO
iylTiWgkWwKt9BmQ36DoqiQCdHGa+InL/t4TydUw9djwR3EnQLJvArdc2E7g+VEWKzreTlzmEKvX
HoY8vU4NjUErn/vypXGm9NVM/jd7Z7IcN5J16Vdp63UjDXDH4Fj8i445GByC4qwNjCIlzDMc09P3
h1BWVyqrLNNqX2a1yZJRIUYEgOvnnvMd119z+nQ1D9j6yWWr8B5XZO3cWaDimi485gm38sHFLX4s
A7joe5a/S4UEdoA3bIR3GP7Q5NkW7YO2O2hLNkyAuqAhIJOaqB7w5iJ1nNd2Kvtv1dze5FGGuE2L
6aZGyJu5xcjwm/AD81vIuLFWGOh32OPUDYPefAL41d4mWa8f8ojXlmSMAeEIvauzEA623RjOMZ9z
cVu63vDYeczmUwvOaKUzo3ujiNu56gghbynaxU8wyfYbnGwYAgsC3Vlg6KyRsLuqztwNOKvwIgJN
lws+nYAfaOSiCqGq9xfCOtPIOePbWG/zC4G91Fa+rTE3IFOnuujWQnjkUgarBvTLqY3TsCGrr6Bg
LRzQC+bdy4LOe/TgxY/AZouCk0knKGRc8PCNMAY8EAs0Ppnj4usYNsgTWooMbi104PCcJxWZhbgv
Gb/T/Mw6VnxdTHF3IsmszzYxaK1aqMdo3nwOR83pZudiVKdMaR7j5xRWMAFtVYmY9GpbFGT14KpX
IehffIVA8vuoApePAnQcdSs4Lyw4fSvNhAuWKOvfQ8ewiPAv5H27H12AIRcif1d0xoO1YPq7AWA/
z5fqIcq87l0sOH+jBewvIPw3F9T/hfqfLQUA5oDOwrmOVgA3oCCgXqoC2ktrQDiyj12zyAZLLVoB
Mby7tAzIS+OAGvJCPSeXJgJc4bQSkHBZRsbwehiqXTw0CW9E5xOZweNOnwERKvNHZY76Vs128GKO
Oc0HLInhyaedBz+4iJsrFBxaEoA60aIhWP5cGZTZkJMPuvmh6KzevSbT27Wn8lK6MC/9C/FArc2E
KrHvpPfm5zXxwJrjG0Ztk4zgNMcUOUBXnG84dDZf/UvRwzDEDtinloZXZOLHSgXq2nDnds0IKVfR
0hfBJUd1BLd8aiRqDTLZCuiWyBKtXlBmzJXB84hJmv6JgnDireNX9Qd1Gth3WHfL63HprLCW9ork
UmRRw8rwkR8aSi6sWY5oO37eOEx8CAYrWQlKMdxqcKxNE9OVkVxqM4afFRpZ3aYrNUIJ2HBfhxlU
XSo3ZAtx+kSzKVunGEs+4zDI+SXClnfy0F6qO9hzUePRe725aVKn89Z2U+lXGdTLqNyWxKDjNsse
U+RAZx2gWN4Vl6qQOG+4uQNNDF3aRPzUvaqd3H4PjRbwsI7CcZ2y5mbC4RE1eQ7+CjvKx6vBr9xv
aWZVL25uqdfZLaBfh01knEsFu37d2iQA1oOk2VXBekh2caabI5N4xoqqSrN1MOmW4x0hoHpdsX8m
zhap8KtdT9W+oLzhNgsKRR/FpXel87QHkFQ5HxRzQrNKRJaeXBpRsXQx87wmLR2Ae4ut+impXXnO
8W4eaBMoV3Rm0PtSUGp2GAJZQ+VpOHuw7KTPk4/ELa4B8IZi1V76ZHKZ2tW2/9kzI3KjJzF1KaNJ
LsU0OrdgI/cepaNBFoxvvcsBi99k6bOZPFZGrh5ZV5HdYgco0m4mEulPCGgAwoJ3nUXWo/IUngS7
Uy5zwtKg47Y9O+LQoVhHtHpGt7j07UwwYGgD7u2uufKXSp7k0s7D19NVm/RnbQ+Jx/A1Xsp88kK4
VwgiXrwrlCz2qLXZZ1Hn4gamMFu5LNVSr/KWwMpdfOkMwobzUg9mT3xkgh22Gi4FQymBiomvmAY/
gxG8uOouvURk7ut+pfvQf6QPgNP8iCttNblW8i2YhsXqIAQmNO4T+L5D06r4gqZObh3VWDcFgUS/
l6fhUp0UJ6P30Ti6ecpcQTkA9fV8qVOBpLeKO29ah7DRQ2qkl1KmVDc4K+hXoqyJzg7vNIoGrTT2
E3WbjDHZPY/7JzfsS+FTfil/Sgs7NDfOpRQq+1kQFena3PRxX90meUaFlE9lwZsLcWtD5YB+40qi
bKrBX70PYbHr6wouh7PQKKS/MSR9VSCukmgHsiJZIrkUz+J3qbmvjJe6q0T29tXsl8CjTDwf7nrg
MUlcyKU4i9RdRZNvS7ddX5nT9VQYkMo4RVLiXUFBD7cwkLJkK8BC3QvgTdVeMRk1HJn8dsPeOWID
tjR5DSNZ4XXTQWYA0Uu6Z0hz5C+6dDqsO5ciMEUlmFEOpr6eLkVhxuJTplB4KRCD44CY1Hou94GZ
bpDbdu6Y7rOlfYwEFSad4FJKpgiWQue6lJWZQ4hYNJX8g0NjqTNrNcjKXZZbP/rUUF8a5Vkoj4nr
0oBSdiPVHQmGFyciMb0ysqqhb4bbJnCPrjbuQ44a6lnEM1UZbh9zgEmo/1IDpVH49AI7/gEMZPqa
MZA5wAxoS0DFtak0KZwamoJHe0KmpgMGXsIkUTp6z1Ws2eZOffic5BGTNMHI5JzV2WtlyGBLTZGX
HhMeItuAHCZmr64PsHhB52KhY3yWcTU9JplPxCUqIT6sPG670ynjUQhFEaYg0QiSGSQLFi0b/+UH
w1zzzUxU/jRT6QXzpwLKyGEtujIslk2AvpffqAu0XEl3KYeIMvu7ZdQD7LtJgoQL6xOSjg24gpR2
a05CbyibkdZq9ob5QE40/NLVQ/UlmInvRElqxeTIQvHQ1C33bJJJ3WOqhDWeolpXuxl9JdzNg9dH
6xxoObJMRanOLrAxTxwUX9+Ey6iXS9AhGoDdWVlKqcpML8l1JanMO7TgIljPRJ2CrZMK60gQ9IEA
Gdmi0ZreiUNupWGXm8qkCk3VczZ8sJAhlefX4pWZbHR4tiWR+5ByNMFNkiqIKo0bPjZEXR6ZRcN5
bZJhM9YmqyggmWldv1BTXP7wBZMzmxd0gLVqzfw7MUCVrpVMMkj4I2J/reN6PYtRruycGz0TZePm
+//uZy+din+3n3WhkFOI+Jc72nUUoXnEbfje/Lqh/ecP/76ltX9D/YCarSAxKIzumOB/bmmV+Ztw
qFjkIyXQZjnLn/zunBf2byx1yXss9nnHc61/rmkt7zfsB5Q2Mrrxo1ig/xPnvOcv3vhftrQXQrqF
QRfSOq+nfk3ZmEHC0zeBS+bZJYiyket7PbSJoMvIL7hnS45JybZJuZzgSi76oudRyLWxR8FmrHM7
pHZwwtfFYLFm0yUPNx3k9TWJ+OwhZSh9dGg4O4Zj2Z/dvIhOTe5xem4cL9/DAvW3nqxIvBdt9AlT
ZUbvI/7KAiyS0YGDaPY8h0WWr4OsUCd6yu2ei95FUhqC6d4dS1wOzfwQamaq2WCmybVaiT53trjc
mlOkiK6PwDTFjhu1Tpnswq5be9lkDPsCT8Qt9YYoBAh85kNAEvd16Xt8KEVZbFxTJN8AwIU3U1bn
GfpfP38LS9/5Oka4gLpON+8DhM+1j77vJGIxkcuMJGVipWKdMJ+dRzyod6RSk21B2pKM73gKTc43
FmCAdUyibMehM4QniUw1l671jWjomK+KUlOA1Kk4va4xdH8bXB+bfgpy9ZNWq/CJRR96e+L5IJ1i
D8jVJhQwETsHxcBnRFuZkp1hkoTiKuEDWNNEaa872A0nVOLniYaZYOMJOHObGRwVC8ECRWamXHEb
2XMqN5g9vBvtDuCbCjv/bsIr9PcN+ypjVRc9lD2wwS3K/JLnd1pS0Hk+C96HvmMcdgu2J6EhS1oe
3SG86dTgX41+Ub1FhC1xMGq6qOEyxqi80iN52hgEwnMgtWDNTBEdyE0auJskOmHKOOOvU2C6iDgO
RBeK8hqfQ48fxIcsMvUnT9Eh2klRjgcdG/6eQXhy1iJ0p62oNLsmT6qFGMfX+qmzpTincWJfB65u
HyOgEe8hYjVevI7j9akL+SqCyBirjxoc3hv5YhpznZje35WfNNVXS3dQeGcIl+k+YX31YDECkauz
DEalavCvE4gQVK/VKOOqiGAN8IRs7pVbjM8t1OBmFeSm8V1XieNslGU1r8gkYGhrt9wrmlMabJH+
8MhhmG1H2OX45JlooukwLFEGQutRceoS2CgUkYBy7diVhtEwPBP2rVCty/korWK5btOaQSAy+rVd
uUzPpuWbWMKdEZQ03TDfQi6u5UcD4M52kzH7mzHtl1u7x7rV05Z4zowFryLsbDRfQoy7ry5fOaLK
Nbw9P8j5ABWSNNbOScH3lTWUm9ZsBmvl1SqE7BzRKRq434NMzG9DiKkPUg+8M/lR9j7pETNNmm+O
N5Kpti17fBvRKgHngWrhXDU8joMGrqNkcEgdW1wVlDYSOAg7/tiLs209je3L3Hqkj0NI11uhEAuT
sSuvPHMGpicnd9nCVsUunSSh4VEFh2mKWAtPM9DjrFr3A5llXK8wnxjACah5wbMvQNoVHJ19ACm+
uzYsVAeOfE1Vr4cwZ8iaCzyXNsdoa50PY15uoeoDHRBRHX8H2R89zUC1TqxJUxTJDqlkZdhieIWI
b1m7WsiGeZTK2LdcAsnlEukMhIEYmwauUac+VxPp710BW5ZlxFyNG5CpHbPrUraltatv2f1BqJ3g
PB27vG1fW3zga8prP9O8T/QGMBREkSxzTxH1ntZWaQPQ8ezXT9SjJTezok935Udj/2IHYXMtqZt9
s3oPqC3VngDNhOFgJRwDxbkKdA8ZH2J8H22hskOYdx+wwmxA1kWPr0UJZ7GSZPUn7RgetV+NZpQu
umG4iTXnJ7x6qPakSpIExHeLDXVtw8SkAJQcjnegmCqCbogjUm6Y0NvvE54QCj9HD9ANYJ3Q7vND
kzf1VeDGxV3OO4X4X8EJ2ORDlnZ70co2OiDkip0du515yGf6ctYJBmQ4x5nrsInSoOP47U273fDV
rH+MABSuzK4UG8IJLY2TTJHk5LPioTC43NqZ+NAmG+r6LfZaiogqitXuu6oRz5NX4u9FBaWxNirF
k9/09atXJupKJXTdrCKvM7DuEHa/qzpV3OGx8p7qyeP07ScuXx+v7TO5myrwD5s27m8mWCjz2h7t
8Nm3NO01IHisH2ZtWurEvzCSGGccuoYiNam3bmQvxANKkKjq2LwdAjiK3BgGx33k3tRc97mf3A5B
KXaSvfBmJFjkrEejgf6aGbER4X7PrJ1Rl/F1MgXeC1bXYZWBlr5LE5/WBFFXK580xpkEbgGV17Io
VwKjZ5VR/UxzafpU+dBDWQq8VSaO+Q6ewjnNJrHRaSIPyCHmY03T7Hd2sPhemMhxXrKlOSZmwmwb
cTx7xLnknb0yfixL0zgHNLJtsM17tIozx59hF1g4ZyrsNeQhHEwrxNSiLS1xkIM73jYyvl5ic7ik
F3H5JmSygvxcBLsRsKiz671UrwklDIeIFupjB/TrgNFx/kBRgJUDorfBKUFovaSp6jqvQIpUgxuD
62jeEHbmPTuoka0Bvl3PzeP3QE8ITFg9vihvKKDiEwtnV1XsamOgGB3PnbElX6s2k45kQcQYefLG
g/3zNYt6vB848kYF/T5F8gQVYh+zkCYkELAKEPtiCakXc0hhNNGNj71529FWyjUXJhx9y5TjQGvL
vc0NaF2KvH8Ehe7f20aGu56gTRqsIuzO29Ic2vfZSoYb1QI/33JHgDBRBtFtaPaCLlFNFFLjBF51
+EauzbB3H6QTTfTAkSzZDwRI9oka1e00Yys7Fe2CuPSxBd24wCHfq8kP3jQs2C8ddsIfTQ3Og6cy
owQhuQq8n8VWYOD/aQA7O6EusnOMQ4bzreQjXllQNA9Ni7eBtXw5vYDoJqOTTtU5rQqjw3aNQgBq
3JLvLnqou+mSMHp2L26dwVelcTs6TXSyw2TetM4QBHsZeexqk1hPw9EPvBZ3DQi7l97giizyuP/i
sZDegz6x7gYRYRHCmw5LShvcHtzCC/f0jndv4ZSWS94QU5EINf4X9LWTG0EeW81hnlx7k5yukcDg
T+Om1fcMsAMGxMWcFFkd6kA29JCq8bJJjD1j/SJFUp39FoM1+VO82lR64YEBpDBunLrhE22aeM5X
U+59lrZd5asuEtOt0YPW9bEj7pvZHyFqDJ2x9dAfPmaOsdZGNfb03kXEgQgfFiS1p6r/hqqXqJ0v
W70b0sg/JHoe7vuU2sufvyUVveD17Lp/83vvUS62rWEenBcuTsDsdVxUZ8RqtOY6f3LS7EvGAm8z
LrYvn0g21ywqA5J9b+wJY/jkSxe/RCEFH3wQuP5LZTU8QYJqCNO1ezGU4TuXz4kb1Nc+SO8vLNLc
L33uVjccXjJ4WlP2atC/tlQLt+ojXbxqc8r6HcM2u+1RuT1coqwb2TkDeLoqR9lPB8o0Ibhg5LGy
lRuSP+0w6n8EWQg7nBIQHlfGwHBJegeil2iUfwtpl843nlzfDTwf38OQVTtEdorCoY6aqtm4OZ81
HbUsrfei9OOn3m8FYlCWvM4GoQrTzwO566fS59kW9c9WyjLPm0R2W9Bnfp5j2X2Xl4dvEyQo+LBM
mSFCWikRVgCoqfbGI8L52Az9yapDpOIo7913ehXrccsmJ5Jb3DaeT6JlIsY3C3mnUm9g6UAydBXF
U83nnDlw/gk/pelB62Q+jn3dctOoaSkkVyGcV/w2+PRIRqHAmHEzrGrTrD5so+4OA713NyVy4H2c
D/VL48/RZ1s7/iErUsoCrGW1DTgqPPq9brudNYxAmfOiC4+GTxj3mKIzH4QXjwSSSJ+tCCV0X6E5
29lqbDqaQiOZV/vUVfTpLk3p1xwJ4oPbDOJQjSa18R1BhK3lRMyh05I2iajpqDayyun+SQKH/IwJ
Oh9Qbdle5XkSgGBCsaTuJLDKM54YstnI4kw3Uid7xySSqJyCre1gWOJLyDfzMFhu8U2VM3YlTtkd
ryDzbKNtaTyYrKvPeWY1L+lYT8eUYA2jKg98PBqkvyqrdfiTHojtYIjyhLRUXZd+iI00lvAy12VW
Ju95mTXRQXRxeCdKUjdkbSuP/ko7Se61n/9oOulKLpd8PzRZcjaaGG/MBPgd+zJGjzAaLbbDk2E+
QvX2vyws762tZsIl2aTp50zqnoEEwam9amMHxplLVhkLQ+tWh7arzTXOL2o4vYx+Yh7K6L6Hpmv5
aBjjIS9Op94ZmquOJ9I7xnzoP0UctAGgYAHkpwABZcM16gLW404HZHzoEKXSlrLQVZNgK8C+B2zQ
sKNTKyTb8LSfP3Nlubt5HHMKnfMir7aejhp4r24aH30E1u9jmJY3EIq5kxhh4N/jHjGfcmc5U3Qs
dzeIUhNuUGU1d2ji8hqU9VK80BeHPvVwpMC0qXdhkY/PtmA9u0edL8lf98FXJPNFwHJnCFO+XYuj
bJo5fMEUS9SuJ0I7/Uxs/Dds8DdilqAK5a+yBv8Xynv+x4jBzx/4vZnPXXIEAl8JVCPX813AC79r
V/5vHDz4u11yBDbZN/7kH9qV9xu6lMOkRZpZ0paF7/8fEQNkLQASaFeW5zhAXq3/RLtyLQSyP2hX
CriE6fNKiFe+Z/Na5Bz+SIgpI28w4d/JQxAx/a0gXHLuwRIrk72J3EPAsZyzMzXXlN2Cj1DFug8x
ppKMTap8HXVe364akhUN6ktnsRsy8XnJ3NHlYTR0EO/LyTYOioF/KyzL/j7BW+O0U3jxle1kmoeQ
xtlNl1N8RPbYJqTozjYml3u/tTCWiMmlDcYorkfEoWMbBuONFvaDsqt2zTs47bEHNpuyFN1N0mJL
hNeWcE7aUlN1BQVtjc6mN3MzzLRa4PETHUU9c6PKnTelCHCpXnqacL2WtX+DA9m6pZ4n3NtzBFQ7
jk88v0goG7CwZrP1d6UjPyuUZToC248iT9U+rWIF4M6hqngMpmOCm/V+9v3hKo3N6NOv2akvev9V
YXXv3ki2iD7GZsdR194MWHBvVMwRv/es264eP2etnZ05TpjmEuPWrTnLJfM3H+OlEUr87MHLWMsT
jb3XtpdsuklfARncx8R9idHXxofNwL0LRvkJ+Wzf4oAGnDnxVIBZJAb5GPrcycqYmyoeJ3Cl5PNW
4ONessgZiTZ4r1jMl2w8rhNvM7TIcrEe6y2ua0XfqcFzeeCxCbuex0857afY3o8G5HKddee0qZa9
z7iwscMc6GFlf5sGI9sgqpv3s3TF3aQdaGUww77mAD8mEpt9+EG7LsM4ysOZ0yZTkzXYH02jDVpZ
anWX5yEVPaM74c3uWA/aMaJLCYbklFb5cN1E6R2rQPY6zQDGeKpoWqbdlS1kaaxQIrvPKkWwNJTx
xar9q1R3+doK8T/QZdvIO2idqBqZOqclisXgzl9UVN6nnglSfvDOcx4PR6fP4lNcU4LE3T8QZ7y/
ZPOd6YP6ZmLKRvY1l7q/Yew8GmJxZvTA7b54nsbph9EHxpOCFu0CxUuqAVaBnNfQ4qdTl3p3lmE7
X7qwba1rz+Phz0a/sGpqbIxYArwkObrr8kzHayMbQmZbP3NrrA/8spsMDipDlKt98LA6zrOtPSOM
wVtMQHAQDhLszhRJDRwPLXaXWEKRztwZe5ru2e6tKvZLMKA9tNkNB0UA2FTIBt6GpfOgt0Q1ycNq
owAGAUewD68NG+cgbiC/6taRSNucAKYdVy8GMlQccz2rbt6kOU80wo6lWosemePWYV03HRRbrekE
oDkbdiDYUcwgcDfqIRdgRI6pkxnljwoVx+d1E58roI0yfx0KnFG08gZEyXVAFfZ28sOSSoWeVqJ9
JN1JrEqnHtxtJ0z82kEOXOSzFH2UA3VkH7yxSjiZK2RJ5yvs6OmlGLhi/C4Jzk3YqGmTsHStV+40
RmQkxYDvTPQQR9duMvJ0dkoKeTdemvFmecDJmt7eav4ZT/DYuUI6xaUQ08ye4vp8QIjpvg/B0ijD
JmygrDGJrfTslkme7GZtYwwiQtyGt1HKgZxukirah/0oukUAY3lqumqWgALIzOwxNnnW0a2bLvuo
wZ3HO5/KbDBcuSKWaffW/F742B/rUUdf2C/Ql4NkDtWkouvOyrEZFlVEMd0UsOdc1T0I8HK+cg0h
vqZuHC3DQvc+IJDb5IzG+kaXbF0RSubkmI/u/K4cY+1EeDOg9T8m2JuibnxV4A02bVFPb8qhL2JO
o+xeJha3vTh0mU+K7gFKUbkjyqLeQlE30Up29vyVpMXn4Opg05i6eA6MhkRpsTHIc64ApnYnl7+X
ii0Qhg4WLzKt+XVHqYzc+0bAO9pPTb52Q0q9VhmB2rupyawtJkWqCMKh6gQmeATuLc6rbDhx137u
O3v08GzW3QO57Ex+gZvRs1H2PLXBA+Uyui0S5NR05vjFoXlmPmR2HW56pIboIfOs6JMubqzFQwwX
bTlExo8NNun+a1jOGCXgLnvzwg+msazm4GGBuD2kw/htpJtErVy+yxYRGlx4IqzmnRW0ycIX6s9g
LeM72yjCdc9+5EZJfT+l9DIGBHuQt029a7O5eDJm07s2/Gx8Y3Va3VeGiXTZk+R+bOdsup+CJs/O
PafEbwVHugMNWMMx6HPPIA+k8ncXSse90frQCUTn340dxrYVcQP1LRRKA9NPQYs0Bfo0ixYdsMzp
pPqhsrm+plZ9+BFEPfXosV96sE+M2mOfj0lyLaQLGcGDEZj9oC4MiEFiROZt2sNKwzvhvuSDkezj
nqTMDr+8m11bBecsGD7Rdmn9eSxDAsTrNh2K78Ijkt97xvA61EJXG4zLyMUOXE+QRN2COxrn+s4o
Y3kTZq1BFzr0ikcjkXV+XVSjSg/4ZW0qE2OjB5pjRgohMSQKlbQoUEmFinflWqn9WRpNf08+Tz2a
ZZFdF3EXW6eGgN5T1ljO11nzBCEyx03Sy6fw1e0N816MVggnYsrGm3KS/UYJzz0Eg49WEzrWKQpF
dwS5g+d/KR/aOHqg/9tLyybdqQarNwu0yWbS9+f2aYws4xacHWVimHlrzUk8m5ub3IiJj6CUFAN3
yTrDK22yYdPmPGXbKEOCb7tRU3QkZevcN0mfveZtyJeuDEPZ41TsA8mZz/dwrBLwmY8q0B0omRj4
5oElKs8/EqFucd87wsBz7QaRuMeYzXGAAoCuhwgv2UO2Ekzopor41TfDkIXpKjfSAYCjsiC/hA3y
83VcwM9c46Xt7y0By/DKrmbHvCbEOHM69I1Krat20SxGSN5Yxif9JcC0Uj3T67IeQYqzwmPXwtLU
3BYpl7wfUfDCKbS/ST2LGuSu9h8Jt7j3CNtDuCbl4tMDUccHauflwXfUCFM0FgeeZ/mdnLP8oLxW
7XsbW48/AZfYGEk7X+PtUDS4tJJSetnyKVT06lCG0PZkIxXVGSuwjYwP0rxtpyGG3BR8Mbng100b
B9vOxZrRZkuRnaXrU57E4VPSUu+QthjaV2aF3YBSvyik4oSnw2yUMLImCNjXTYnjGG+gnfgHqKiK
jxUcgYQbHdndWYjMvFOtJ28yI5JP9sCyaQ9cfOC07OLPWRGacul2IGd5ROKRT5PVQ+Mup4nuJH/S
+mGUyVAdLeCDV5GYw08ec9wsA3TrcdUPkQwPWWxCXuf88V5ZuX8iRJCdZ7s815417olPWqvMxyrT
FLNzXTaV2hTaOdUz2mMhKMJwafNbscs8DYYzv/PASB5CT2Sfla7oPkpri2YgeFVHZLsAEAwcsM8w
LBjBaAMAlE6BBvU1PKCgo0E5sGN8mluzlfaulp5JI6fkQbAfRsb2Gyfq/H1bgj5aQkjzXWqzJK+7
qfyo2ukD+04KyMKKYb+XpnDqHbsHP9hYmF//Fon6NyeeP2Wq4V2zq8VMdLQhVrPqctrmCmBD8viH
M+DfUu1+HqyA/PnIeFgMwOr9erDq57wog8AYjt7YsHsDJZ6s66lm7f3Xr7OYC/5pPlheZ/l8LSil
JidC/vPX17F8Q3SAw/Rx1oV+T5YnvNvNnAhC3JoRW4w0/k6Ujfogm6Y49TevLpZ3688v70np2b7y
ON3++dck6JcaVQNqwsZruouWQUAoAC72Mhz0Q5vdq1rWO9bn01s6leOGHeRrb5JDZ7qwL2MGpvxs
GTzwZBr7eTwTDyiPrqyJqpno6tWKOK9XrYwhzsirNtyqSujsgIyjslk5/k/EJeTJ8Hv5bz63f/2F
OAmzhFngFErQe/Hr+zlLm7xtqavjHC8kuhpwG3JKGRPm1ejsPOPDTMm/qaz/1xfFEICFxVJMpphZ
/vSdbIKAhR1yES8aztfSY6mXd29mQ98mUa/3v/7GLEf6Xz8yXuxijLH4m+hp//U3DH0pCgpFuuMw
w7zCmfgJfHcHFqX7m9/qV7Dj8tWUfC0dB3sMIod0lj//eCfCEbb/87+t/yOoFaiAYhfHWOeiu7Mt
0CnM/pajD3/9G1n/5v0DcsspkjERkIP3pw8tTGH5EKfIjp1tsbzVjBSBHqPwGvVDUsQrpGj3/hxz
zquiob1LBy3ts7IcUlCMfPoy/VUWNSVdo4P5gGLLfNhcZsW//qf+y3tiWYKvFsBLi7fFWSCgf3xP
QsMOu4bI2TGNItM7Vkp353FJdP1Nr/u/eR0cds5PcxQmuz+9924dtajo0Oigp3l603h0c25CqjOu
Lr/Pf0XBvxMFXb7df/joN+/d+//6fvHG3b7nsEvOukjev/0iC/78kZ+6IMxXvGI2dhzpohHbyyX/
O3lE/qYUn5hiw+PZLriq/68LSvEbUh33WW/hObsLlOQfsqD/Gz4Oy+QH8bq5GKv+E1kQdfKXewSs
EQ+aI1cFtFSH//25PH7JteIbEFQD6b49NFaq3xeq1QriVHCWmdGehtqcNhnmTYJ1Klo5eREem1El
J98sLMo2HfWsisn59BuTfKjtGTvPoqKRruLxZKRFtJ1tVv6N4wRXds4eIBznd8q7SMHEG6kFpVlj
fjIMNHmWmd4KA4FeNX58KycGh36On0Vpf+JEXUu6kq/oeqr3ggUGnk8TmkBd0QKObz/exolnPWVO
bCju5VF2JWe7uGGNOt+h+OcfbGPNtatcMBwxzileb7ir/IleDnwZpHOJZD0jxzt4rPpqbU863jR+
kH51MGHRH8yrBuSd8JfHS2LFhO9t12X4YuftcDSKUm5wJlKeWOQU+aYliVbqJxJrolK1UeOdNpTa
l+hvRF7akm4GGur1GdroeDBStziV4aC/UM/iLKYwaKdRlwjmRKxNzTg+xIkMb9vIpvQo6Mu9kXtn
YRf9U0dP0/c6i5vX2B3s+9zErVCayj/HPIvXY1NWW8pj4oc+ycXRF9Mz2436TCGK9SDT2jlq3usT
cmN83UeqeB6C0dyTbJQrJjluIuwum7pO3oe6im+jSEWs0WIU5lU5eP0D5KycdtLoe2AT+JvjxVeg
3frVJVG4NlA+PuAJ/piSSc0bzx9fIlEd0si50lqk27iyrPtepYAzFK6GxBv8Vxsu2TUNEPZJ5nTs
aE2vgp2arD3TBncaORXnlloMKqjmCrysCWb4o3J0va9UmB/bEchqGjXDVW7awe1AXvrAoidn2FSw
DICo3uAz+R40J0u8yoRXxurlP3DwLK8yp203c1B4zkogr2wh+YacUoyqmFd8CPk5dMv01o9mni3G
PFGinVlkXkhphDSAvVjtPN1mmAA22AmWCoK634S06a3BcgwbbfEBEdIX/k0+sHbESV211NJwutNF
32E8cX9oFp+3HWRiur9rf4fLfVxjnxmPHQ98uKLeE1yYeuOTxqGc2KNyeGq8R599167K8uzdjQwE
rjYmJ+u4RkDIOrS2SYOhq56pw5gLOkjGif2bMZnAJ3VpoiNCSQ1Zp95AX5wOotbePoPeQSjPuyvG
Zp9LDHzwTqqbAMrvxknU2unobCSsu59Z3Fd5zbosWP8/6s5st3EtzdKvUi/ABDc3NwegUEBLpCZb
si05PMQNYUfYnOeZT98f85zqHNCJqgbqpu8yEHGctixt7n/9a31rphdvOxrlJ4aJPSjF+A73HA27
vZ4+VRAkYdoSqEkxiNGAYO4skjJ7hsziDo6s857G08xdQS8YPeN6vMLUfTet/LOAjKmW9r4t7F/J
UFiPS5A6h0przF0De4/DZ/2KeeNI5kzaX6rlOrbm1RHxvMmzpvNq8Ju30KXOXI44FoKYcXGKyQGr
8oLNYPKtzii2ore0K0jB/jViZMH9ly77BvTsA54lYMxzIe50JL8T5U2ogl1lf3VOGuys0pLnppd8
mHRb+AH3jRsGTV7VyQRJMruUlw4D9naYqDvexwUdufM6HOBVew3zwDlKO6EtK23bnaHb5WmCq7hG
A9r9UNI6kJYK3z7mKwuAKKabgLvKoxMuaofvst0EMiSkBo6T1hR+23MKW0Zh69oIAuH71KURUwto
TEDqMfdGrxx9Y1rys0oELDtcHTPa2+rMIzVKarkMXsmSLFtc98STqe0+sRAuGJVG5xDlbvFJBKS7
GyOD/mU8OFc+5BXr4IjULh4wK95OLB1+WHFpgw2as8pPi6kfNoEZkQ0B9uL4UezIXTJgn5sICNH+
mP+QuMd8bHx7LYPoxAuBPEcvOA8M9TYU2lPfjpc55icPEnD3MaVaw6xYPDhW8gZuaqEDxUkIxHbd
rsReBnQ7c2FJYSL3JWzWTev2fP47DK5tDCmoK5T+2NqZn+qsoqLQ3WoFd9TEte/7RPXbXkYAUKR5
lywl2qvr3IplmO5UybN7owqzuxHXxFLXj79TR6aYCELhQZE9R0X8lEjLpL1TY5XsDCxTsMTRHUY9
LspbtZeKE1yJBFcBqTG/h/f6RWTsKRrsH1jeaJAf+AJkf2HJVQnHBnbQPFGHgRZanFpmADJU99os
aMhSrrXdejD/jDNXXTF4DHd89W3mULw5hO8ds/WUxc+McRcjD/0Sh+g2z8Lcb1dboMoCPGZTG903
mk4HOYTGo51YOF35yV/hQsv3FiXCi2snPfKUOFDyVN3CTGv2c90HaisGnBzAb4rqbVrs8K6mdeUB
Ua26KzW7+8pdk2QGUBwegzN9WWle7FpFhZG9tO61taA/EDTy0UDfemO4BEl+14/JchF5eC6byOAx
mxXbABWWYFUdlzpJIg7VSQCmWvPZo2zv5TRv84kGayPqcOQmErRWsm8ELThdnUimxxREg1i6I+AB
2AhOdW+YVETxr75IurJ1sIqUVzHDh3aT4Yge6nzBIBm/GcCCSz2RxR4DZdwp1u7FfhjjzmLtOHYf
C4+hrwSPjIeNI3vEaVeBN0LF4vFGIOmZyBqhGsYQzSMVlhu0yMb104yVwpsrsKsa1Rue6tb8Zkzm
7YWjJ/Hg16Lf1BBFR2Me97pRCG9x2EX2ZGG3M+jWm5ZG0zF35iXfW+EcRJ6M2ucKj/PUsjlzNNXD
qXY0vOoECKuSK0qoV19ZNU3PFco4nlLb2vVmxtNbytx9cszyZbKHx5KeJurCoksXNzurJ3BD3cUb
ChCl1DkwgSKVT0K55a5wCyriqZI9F0Eexf6sZ/ZbooAxkSg4hir9hQy2B/GAmRlgEP3eYzf2iI1m
wc7JpOOMT1YJv2XgwMB3WyYK0pleH0qyS5hArqke/eKB9jI2w+9Wmfs17nwhvo0fQpgIhaSncdks
gucut7Ag8lVh2V5iLfO5ak2Kbdrc9ORs1pdARbuMqrfIwyDbem5k9lj8TNi2VY3jmnUEa2MCnc8c
v879vLRYnbpBM4kCuNC1BLdOM7rQ7BvfEVPTvHgYcW0urf7ELW6+AdRcdhB/1aOgp1PlyW+TxTVv
arO/61fPTJ31WALb8qRFbCZbmp43qjVaT4cJdgqMuPPYzE8HqQ36FgjNR4L9Gs5Elt2PzswjOqjZ
ctmoHXVrTV65ROq+HQOBx9ysT449YCGCbHOqg+Qu16b6vScCubL8HM8Y8B1Rh6aNGxv0zLWpnerB
DQTuxaT8cLKC79dtKtohc4wwbDEp1sFIVXdvtdV81EOpvNgg/zfn9d7qoCQEutBeVZw7bwWiP63F
kfajMBsPy1pId/YcUxTES/dFmDCnl01YT+M8h9uJgITakFJuT7iAs0NX11i0Busgx87iRc3De9bv
1aPtrLXNCLuS1s3XKupIwcRO8w5lXHipqlGusRZqHDwrLmlMgU0EdcN7Jw5gqOQBPnNXIySfuttF
mWpfDX3wgzVE/aSzAfHqqA6usqnkBahbdeQONl5LIyte2QiST8/XDjal5quh5axyqYH5XebC3tM9
VHy7VRXsJxbbW6fmBk23mHmPLodZddGK/IM8IYC5YUnIYY+OcUcHVXwLQ2555DTr+AWWIo+MrGo9
g07NCxUP+j6UuX4R9rziR3FBW1HbHoMlF7gECkqQzQUujmEbHrH0/LdZ9+6FtL96mYXQNn03WhtL
9u27y6R/TcGR30pM+ScKGEHfJCIeeOkJh1RMAj6fmGTbtuvDtYie2sTcLY3CSsj2+aWP8IZp7TRe
bICJW2usi4vZkozPUVr8JQi+4Ms3ZAiryNoV2bzqvTLYpYvlvIsJRC72JHkdEfT8qRP1XdgmFvdP
Sx3mTqmfjKy1v+Sh+1V1geG5DIBHGgbKByuM48sgovigkCa3nVnUp5KeE54aprsDGOiAjI4fU20s
fPgCuu/ErjjFmmCxAEToYizNQ65HxHwmRRWV3eUnZ0m7eFMZ7hHLrbzH7pV+84PWfuBW9h3EG9ba
rFjgimTzN0XvvzpqqjcOQtu2Gp3QE82EIO4K2vQGZD/6f4O7IAovQ0ohQC3cs1HNqWc5iubbVMWv
sZbM3rhk76UzLFu4hva56skeqCXZFXqOr4TypLt1yAdWUXwRvdzDRCN+Q5mqHzTIVBU4mZcoMogA
2SyfvIjPnJcNZDCQcAqv7xtxb3IF29aGUfwIucAHzHLDS6gra6PV+i2Zw2BnBjtnDPaCPfEpyIen
ZLQ8OyQ1FMxcyXV9p4VivpC0rncdbSPkO6aHxGw/eXuScpry5AKmYPHU3BAJ7gDTkEczMdYKiQNO
L7AnszsRWYBprUmsB3Lm7wsLwJDz0890Q1/vBvGurDXNHyrN8JnzgoNDFtrDJdA8DVUWk91t68MA
297XaE488KRITmIg61YPufPQL7O5b0lLbwsVngdbkofhNooAOvUCsz0iOwxD2htY66+mvcU1Xg2D
y5PpbM2aJT0cQHJgJTj3LRffQ1Tep44DvCwcxvucoxDqgTYNt1YlxXvOup9SikgEv1hsLNoGjQwm
mR7VVBHoQ/KUN0K7TqbKu/zYmMO6748wTC784sGcpcUl6RLxkydgc6m0jDEXRvOWAq/a2SyxgBYJ
rumtl0vwYgBz8uuBuYX6A2L89CBO1IcRBsRN7XZ70svWtSmm9DTD/D6quVRXOZnmvh+M5pcF256K
3qiP30uae39NxMQ2bUU398Lu9cBL42KsEKRZ+CYPrjHOm8EyKawt287jC5hvzNLjy4BF5Ebw17yk
toF5QhTlsrH05kHyO30ycoNvBtP0S2iMXxUdOD6TUHyK9EE8zIL/hbfJ3SL1sn4kGMK2jCzeA09b
4YOpp3k6YLswz9o9aDcofnBJSUJiDXVFrW2ybIV2G/AjuaaDxLjolWvf7GzSQO0bFJAWZX7Wc903
mgWmZqg4sYYQZ+yMhdltJKG4rnyGt/3RwLKgL0Cjrj7+neIqPdo1+9ShkVt9nohgyOm1Zfhx+Azb
UsxnmHE/S6A8J7L10R/46P9p3XP/Va5yYPvv6xf+VYJwjWm//I9//GP7x5/ZT6wq4j/8wf+rovhE
G/d8/WpxUv3Hv/+xyVj/5X/3L//UJf8LRVOAY0SE/NdM5cNHM38ULBv+kDmPvxHx//hv/pQ07b9A
0dZ1AKqC4krHRLj8U9IkwGtJS8fF4VhYHlex80+ro9T/4riGZf2RwzXhAP9N07T/YnHcu65A2HTX
v/nPH/7PNQ6v279c6ygbO+XfrT0wN+KblFA0WXmgdbHg+UflPRVEGiAnFvtk0JwHVkCjvSP0lO+K
JUnegOb074ri42NhZSNpxZr8qJpMbOdpDT1/4JmSVE0HD5Cv4RH6cl/K3pFvxljYl2XRzR+xCtrz
aOjyCMEx+QTrKC99E06YeJvwYOXKZlLGzzFva9GZv9NpMYCQ1n13sThDn/H0YUeKcSB9z3NlnBvH
yp4NWuY9zNpE+CIpHttapl6Pk5Fwr5UfQySujQXB/gXnVXtqWCO/6FWUnNkp7+KZOgZoOsO2yGvX
x53hEGhlZrQAvG8UOf+thEt4hEEcED8Bvbd6y8OLi1lsH7dx6ZlTykWs7lNfkqm9kfWx8Zwn3aVn
i+W5AbbASFWbObb0e5NkxllGkXaaMuZcsG3DxTQGc00Wpbeh0zv4T4A/E9sqLrVhtuyPW+HbQIiv
WRFhq0C13JgZa+O0V5egbxC46ok1NMmid9FQScU1a6CG1TDBXdTpQ5bJ5qDSRd8SMEQr6Lvlw82x
28s4qXYY0nvPgN226UBj86zt1KkBzv4DAMY3W8pKeUXXAF6d6B57R/EIX7ohHN/mKGifXYSVL0oJ
F3uD/5x5Lq4Fq/9Zx99/ZE7N2x22d/09p9+QqwKWgYownD39TGYO2V1KCuSxcIbgPoaYcediWPI5
vLCc0YbkxMAQXdfDyjSbW94jmoMsmtXIMv1S3DtDn3+LeVJM7oKGFL0UuNjbsriXuUlDzaTqWzbz
ezHrXEfEsL9n7tZPIBaYLujlPKdZGHq5VnSvU2Jh8XPc/hWQXfxCpij02lq7kn2u7pJhNL61CcRI
rifcCJK+7omAhvP0RD3Eb2Tdn0rZwblqoKASNAjujEwq5k8ez5suKYVYvUN9ukbZ1XkY+gS6oiO8
eGnnE8Ov/ZBX7r7UUnwwhaAexg6H+4EylY8GBs1hNszxEMYOmsNcrdnvzDfCKTggTbiEmBfJ3ECG
6YGRcd7NljWdcFup90g2luOny6C92TxRXsIqS49FOo4/czZuH7CXp00U5RK2kePcjbJuvdgdvdRS
T/Ek6qscpnzr9qCv8BPVL+ju0b4pe/leDVXIBn2Qa34isAU+WQxIJg2zkcc/rS5hS4HlBiJyeEfg
YdgudlM9gO5sEdWr6jVwFaoq3RI9kinORfIGVbpLwLYGgz4n2wCn7jXU4DLjU83lg4H8c+hwHvL9
6vhh8Y2K8YXknH3qS/qabWwmZ1jiyLdI/g/xQj6mAlXsdxEutHawuY87dqIAIFaVdQYIG1OXkHXi
Cz+h+HJQYL56ntVnQ+A/8Ma8Jj+ijCEDjVdUmEzbtpm2o6WPP+ImKuq9sBwdGLLqUxudQrheTjSs
RlJMMIxIPMirKq3ORmH3fplJfddj6Czw33W68ioMjg73n6jyO2kP8W6xNYRrR9TLpuEofgeevTJa
pxUDs3LI0c+XkMg3EUOyik3MjfrULGN038VT+cawjTgwU1T8NGlD8bvNF2vaBkVo/DQbNSkgbm30
PpXOmsmSKRRLu2CFkXJL7O13+CcIRZEmnR8CK8kFG8v4VutEd0/wmKVFIKacj9qoq2JPQFyyrHJj
DSzBRI1Mpyr7rScj6vhu5jSPetU7Z1nO66ENLoGDcSrA3IDdm3aIVXNPiblOoLIwXO3diiYip6xw
wGhj+sbmRyIg1w9xbFSo/rpWs39I6sifpk5OfmgIMkWtNiYIaYWTgrE0VHmLrbW9ZQQTq3GzatpP
nYAbMazesqK7GFdXd6siXbuz0WN2fV51jU/oJGTkq/P5podplVB6nvbvcRNaaouLGTTryCoh9tN2
jrZprzFd6K0K6K3OqA8P2eEjnJG1PM1JZqF3dHCPWgAI341mFa8sJ1qAPe1MfbepUPqICGXXOKVC
qx/d9py55nc9a82Hit2rOU1kbSEbYnSZshKJieTNqVf99HN2BohYJlP/T7PXacEJGb6OuhWiGMd2
Zu1DstRX9HywfGEaaAALzFyQQ7abcecmLj9AY69CduaiSFj2TA8Wm5zkB+bA6Q4CTviiEx2oMaST
WAYbzNoLcu74RStyv5FrlfkWe4zuR9GozhqqOggKc4XxUGCvjuwa+dw3fBDeKhy1z9zHU5BSNh1O
uQAZQ2iTGOaeeXigQjwUP6gTjM5prpjaUoTT2C9ws74pe+B7pmkmP5HFNAvs1XSnbdrIbU8loIBX
pOrcPMawuqttYOej2kpXAiVvcE7dpwW/OE1mothoess3qIYw+11rNLtuphpRFMQkn5gOyh68rqy/
4wwVH7ro5tdRdwBdFiYRsAA2L2dvIQGL8KVZrrJWfHf575/aQQYu8VfIUeRLtPcaPuEduFVCSci6
X2KYFDHewn0Jl0n7wV09e6IAImxRzhTckE7mZ8lUDGcBH9oXh273kAQmuS03ibqXYTDnDlCpLH9S
W1WxXER34DNayRv8eKzwnIraZ4Hva4HSrDcg7d1Cg8EWOFwV3L7LPuKoWqq9NgzQFHCPg2xM4rKp
91gA9Tdk0v5WFnrxxSjv5K8gTMiZN/NoXxOQAMwd48wrOSRLv+kIAj+6Ea1dvFwWsCQzVONd0OUS
MFQSPY2g5Ucg8CPmZEyBKPHZJ7+rKYHj4VQvgKF5CgzICdAplmsKeK7arIIlQjwlNe2GFG75pNmp
EZKJ0PSXCs4e5Qa9abM2XaycpYYNYxwZ1e3v6fikpz4l2go/m96OBxJ//L+PtrFWAqVR8BZY9FPl
JFnZoWS8qgQZqpe+XTmiY+zi+I/5vVOs1j5iilvOy0SBN1hds72iYlXX0QnIPnY6mBaLCMdaPxXn
xziarXtGSFlvTZ5wvDPUbGOnXHmCpegrlucpBVMLYjQhFFyVMCySB0uoAJO+Uxiko+3yRatdFq3C
avWL1Uy8Im6W1lhrUHs2lVnFBEdD54MNuPxFlI5vK3STjlz+NPL6RjONQqYd/sLvkB2srHdfYmqL
99FSaxx+nXFJF5mcs1kFk0cX4rJPRtYcPGmrdJ9bgtKFPNFne19i8L0PwIHcTWZHbSrIiQ62eBy1
PyEa0Def4QD9zio3/wr6RJ5UoIWfCz0jEN/axb2H9HSBiKEf54Wc5B8+uP/pcfAc/+KwLL+7fxwA
/zrH/G06/P9paNQFHU4WLqZ/PTf+r6YvPn5FH9m//d/qeP7PF/gzL2f/xRQ0M+mONAjAKQls6Y8h
0hVYXFyTznAsMMJZB8X/jMu5fzG5fa0NCQZ2Gdv4G+qJsh48iVRD8OVsRlD7/8kXI/8pLmeT4nOJ
y5HYkwZlzGv67h/sW/SrsZyED3dcs6vJoWf782C3iiZV4KMdFuupz5IDumHVs1xo4HADWehr7kmR
gcvXTHwies1xiQplnQVOFbLMExIXj9s2fl9i+rb44E1z48O6CU8QjdxdgUVP95uRvpVLqVS+2qPn
6p2hcb2AiRhY8VKI0AJvREbcp57IfmlpgNmJjnAfVI3B1+cR/GvsmBB7ARL4QW1yXdVYqUFDMyhj
2C6jOz6B0kjiA4QjxEwDfrhxqCcuJ9zXBrnhJjY4j1h62deYVUW4bubRdy4wAXJETVUAmgVwJS7+
sVLbWqtb6AROrn9HMZ2lPqZ0t/NMUzOvBYJztkJwwrfa5M62d5xg/iUtrXusgD557ZQXPb0U1chj
G/ntA2b6dMRmyP4pr6z4HecQpiRc3/l2LHX9aeIxzx3X+OvdBVh/Ya5FQAnIyo3kEfHcWcb8JsZw
dYkvRkC3hl7GB8Ox+2QrFxb7G3NOAF5VLW5tIxcjMMRFw2+Sof0vJq21Ms57cTOalaUHWKAOd6bL
8uZ1AHt0BMbPKJu5es35zy213s+TIBpPL07XxMe6bRVO8PV1Sf16kQQJk8yOnGfORqznXdMkm4Br
/JtBCYbfzrTeMewcKQEvttCSRp8vg/nFNeuDkzr5/CCmiRxJbkfoc6HtoPCyZsXvPhLuoMMeinKP
e7GL9W/m0RnrPTCtsTWCYwmzeKtVKBtNLYxd0LfY+1GFL65t07EgmQbnxcRLkoqZ8lqu2pzlWIg8
6fb2bXCn41hpAsCTFrgnLaNz1UwCwk9OeKFC4dWoJPU5AE8b3h+YAtRvTDLHYmiO4xQCAcn0fK9a
19hOlG34cumKc2jI4mTxtrnmstKO1jSAs5YM8VldO/uc+9/GLasT3oL7CO8kTi3qCZfAOYODa8/s
LAW9GKDSWGOuvZZm9JtgXLYHw5K/xp0qLoNEDEZLTSgyLGm5ciO2VCSxHkAJ2j6Am/JqNybej4K2
TDNVi7+gcSWbKdKDH2E23dKuwhxBhfCRgMyyqW27OVUWSzVSMjDAJknZZ4naIxJ5q0uREoYKwTmG
BnaQIDN9s0BNYl8pNgMiaiy6/lyTxGO0ivTaT2bVP2dR9ThUzX7gmY5iregDaLhNPQQwxjFwAFDa
0i/usVhkjW7sBxiz4TxcTR28A0yAGxPdV9+zKRkF9eCBSP2sA9FWkIh96Do+ZVQR9F60PtRZZBdv
UPEqDiP5bA68/+ecsGQe/M4E3WJ94T5qqFlfcDd4p5fVXWXZPRutdWRwiWE16fRt4/voaZllJNL4
zVcy31KAsMro1O0uCDFYFRSoCXyCiDGdvVvmsr1PIjoFihZgVQ5rDIStjRdgVssbuROxS5JgIf5C
WZLEa3B2onT1lWjjLWUkIhOf4MaiDtvVs2EHMc72HTw1fiqn4okUR+uT3ofUbuXLZenIVXlzjoSC
wM/yc9CG3rPA8elbc909w6KD064HGN/iBIAvA/94cV0YZxYMft+NYGV0dfNd1VJ6eu/Up8mCbREB
YPc7QREX6Y38UbmzBWGsNRC8ZPoJtK/Y6SoBzBJijHlc+fbscXTnwDuBkxCjReuruXZeR9cICaZi
IfjjDvIvJU5LYUD9e4nTocJOX43WhIgN03blP5l+S+7JURLp0dEx2oGLphhzsDBxOT+0rOh+jCWo
LxI7UOuQRkCqFM1QPBe1NvtNBHG8D0E538/lSKV02kHs0Yy1JrNZf/tUTQoeU6M+2tUWj49T+wZb
BSZfR0RH1efO+DBRmMtgQCbthWKB9DrbeiEz4NSwmO4qNIzzsvTpI45BjigsDpj1Eik7uuC69lOT
Bn5QFVmvTKmwQQrIY4hLrGOp8OWrM9RY4xnrZXscR3ve95zvd4gI0y6LmLoXpJ2Dmmz3RDCIChgD
WLjMypCPfcBdFHC2ZxFSAzjtYrsrB5pnOu4hWKMUnRPUnGw6B7pWaS4VG1B3IbZqgdWjBVWMQ7an
R42kMxwppGB9Vvm9Ta+J7zZwjfWedTfhiJnuGGMFFZWAvJAatWuaWpU/lZ16yOdWPraYiW71SDWu
JC8WQ+PaiGJhXTgkonzIXUJTxKydB+x06rXQKvqcpQOEhzDTLurwgoT63PmVHnU7GTq3SBHGb9XP
IpnvBrf7KDux7yOKZw2MRpcq+RyG5uoC1b4vRYT4oy2Nx+DTXiOd7TjK0y7jvgHVSafGpRxJ6Rd6
H3+IWhm4qABQ9/Zw6rTiaow9Pk88HrCNpPWIo+Bgm4E68lhJMSHBl2zgyFDXxqL3uNg9fJm5agdA
9AG9K8C/3xJwc55uVJ/TCFiraUyK5ReXjgjemw+1XYtbHKpfdmlOV4hZzbcc+/7SdqoNd5oTtdrW
WVjWHp1emOGpABJd/EY8rd7o+yNLBwfGNfeuOeAOQaw1OJSVml7dhWJbz8316oM1ePoOZdtcbkwF
BsJCZcOLsYi2v0N+ji5O1UkoxYX1OSaBzWg3UOEUKql9DlHKhJZbw7glw68weuoxDak2gG9QHDcp
te6XzEg1pcbaWorFjaBkiF1Q4b7aZnWvzvYUNaRse5R4JusQ67ATXnWzM89ZwnlT1yPP+X4MPcuc
Yt+yNOe5Tk1cTLG0PrjV0k9Nw0AoDqNeZ6d4rDWD36aI6MmArnwdi3ocIWpVMvb1Bu7A2jnQoQFx
4Wh9DruK+A29T17IiVUBo1n6eruqJZe8C11eTiPhsU89k48btr5SY5O/8mgxv8AT9geuXqBLZgn+
UhJoL8k7G4y2Tl8c4FstnH4rcNMf4Xm/WCpJz+mcyktp5sOVlgqWoK0UzzHS9a6G1ntdtJQrj9Sb
4sa3kT6LZeG3W8c8mhbE/5PlwP+JalNRnUR27j5KqWbaNrTQ+nQKtCwJjXewhCwnbTEmG31Ok/cM
b9HbHIzfQ9Vr+lZgRzsIvdgZWJ84sVSi9mk6Tz/B8hBLDqaeHiOYfPlHq0fDTVSZ+RZMNsBDSGEB
FvcW2ziC1LAcBieXP5cUtjcPJfQ9CuyvsQjcj6qtp2cBJ/+eKmmKvKaC2P96C2dwTXRUVlPP0AUE
NRJsChbrV2+ZyaHS+q72JXufyUdopWBQlHE4bqmgmX8CWdIuo14hTxT0RbkbowjSO81M6rPZr6Cj
xRh+63mzwH7sWudVFHqDIODiHKD32oAYGht6+Gb044yfqsLTuq20pqFKmofF+5pOvakRAx8gMIkU
Qvuc0/am5rVmULhbYFWG3IxAnU4cem3v6fMwZV4ZoCmyBhuNn0Sw5vQwmWP0OSelEaxpzeFckc3a
1EaAKpLBq6HHkzs2TAYaxuaJ42WHv8f+zUpU3Aex1Z+ihLqePcu55aXD2gfHtRPtQYVoTUWrosfO
KpzPchLdbRCMUNP6llxD3hMVp7Q8YlvE6sNHHiOPuW3CwrpfhkocYxZ/zD9TjjrZdSGoWbaT4WOn
3OW502PtYU4mDntbj9jXTEumfXeE8imEyw3yv22rq8vixmDGZSaHc70UPf4GKT9hac7tjrd8/TV3
YXoUtUVoGiZV+FZQb+Xu0sgOjz3zxrcRD+hjOSUmRP1j/Hp1bE9+oA2EhZskrV8oXFvWdfeU+5mm
OyVVGc7ou6lDl2aH/Sb16LDq7lpW/g8Jas6V16e4jJ3g1mm1YPawqvnkRIvCa7i8VNiWacuigYAl
Qe6A0t0GWqx8EY4TngXgvJIugRFfGyZTSLcl78ekmsoHFnXxQx8b4aEGPY+t0Qwl7eAx6MrMzlig
4ILvjBU6aJcQMTv3JStiIgeqtH/Q0TB/MsdQYwcd30R+L2YiwkQFmktDE6TYxp07Pc7N+Gbo+m3Q
uvqZCHod+3SulvhGdL18HNIpOkDwUh/Wotn81Zx1F7rCpmOtxtSvJqN962vZfk+h7uQeqDLnVtLx
cVvMJHyZx4wnUTrY0TFv2DKyiXEiLEiiSHdchLUzfGFD7XpKfI5RmGhbwaruRzNYxomUAMsTdCo9
2UNlHxi1G2e8FG7UPNjOBHsqqperFefTRtlsKG1rcN5JrUy3husWNFFMbUdGJSvciUmyKea+2ey6
es69pefduTWMubQfagGuymMZrm8x/oKoqUf5gRu+OYLKKy+YyWkmdG2qGs3GpNSHaYkbWNQ2CLVu
rU2PWjPSwpGp8Zctw+43Sy5WHH3i5I0X98N6Y+Wc+GCcJdPMCG9vKUSsPezRmA4nNdpci5L5JRxp
kdnwEkMQcN0qYZZes29eDlofJgkfbISxAeyEhunuiGLaPUPkSYRnBlPJ1SyTRbgPNSwlcHvqs6OZ
0z6j+oKu1n56q0oZpHBFc4v3MKWMFGzG+ixRuzmP6g7ywGOVNtwCBibheD/V5sz9wsZ3Qhtf5QPA
MEpfUk/Cmzlzl01Vd+GvpVnkHZu71etVT1Bd3RzHEwwZp7lrk6zWMe0H83wCmK+FR4fy9MgPEOV/
Vi7XNp3yhB9T7dZfKh2do665xatSafTigqDDGGPo437UNTbewuz27BRhZBQR5h16vL9TgVluRy1L
kqwkr2za1q1D9xAEhx3+Mm3PI2lNWkB2G3SGsdywGfNhIRKcD231C4UTIqrlVuoZWC00eYMhMnSt
kx2jbM8sq/0C79NtmGb9As+FJBQK+cYNWpzLiM4lRmg3+AW81djEqmHJCwiIZ3YLqrCnOYl5sZPx
FQcSlKMpyl5NVxsudIlOz2VlF0dGR9KqvNb6Q2yPjucWFXUKma5OAx94lhlc/Rstmw+hPcXbmTXW
d0lt8YMyGvXM256bcGKeRNzK4ySC7i3sBvMO+XWh5w9raqRkf+zDqCC1jj3ASGtKCNWNO3nzNNoT
pShhaN5HvSwPBMesd3CA4SfLQwqu4LXsKJhovGAR6X3VF/FjSwsHMpW5iVoQP+vaiwVJYITfjhn9
CCYtO5iKjFKTyT13u3FbMmf6s1TNfVd1oBmXgnR6O+7dyG38qKxTD9sJ19PFeXU5sM5FVIHuaeNf
ZOmCVa3AwdBAIugkYA9l9Ccjgn6NFp/dBU5ieF1B0W4opuxnIsfivGAo27CTAXzhZu0BP3x36Ohw
97TOoepGV+3Ojk2WzO6eCkV3+3fi6J/OlX8r+vyxjItuDcL+U/aOKc5Ehtax0AhMK8Jap7y/i81q
HL+gakr7iHkXgxSIQffk4KO+VGNhjlvFW4j+OItlVdXLCkJzbx/H/H9TdybLkVtZtv0Vjd7oQQZc
4KKxGj2H9w3pdPYxgbFF3/f4+rfAVEoRUSplyawGWWZpyrRUkEG6O4B79tl7bd0b/tUPMmPGfpon
SacZZEhNLnGyqj9ly4nClgP+12E3Es6Jurp5DRy9n27A1zr1tW1nmnmO1dii7nRK+wv0R+Y/k9oN
bTV2XN+B0T1gSZXoZKOo/HUa4dDBdyfT8sWUk2UsjVqBrtmI5Ow4Hq+8qSdPdknqRP8S5NK+016t
jD4iF6pk+Yj8oayHptFvRdcrb1XALitugfJYqt7OWE4/fGpC1sLc4oyTo4aIAnanPtr4e4mbBMNN
mZvYolFindU4qfHBYJ+OSTzXOUjo/nWfV7kL26eB4ZSOGJMH/dQmPo/DTCZrfUieBHDWm0b4e6vX
4BzNoqU1y5fFl5LZDQ13SEWJRbBCcpWX4kv29L8kUEsKaqu+hFFhlNa7ZZv2eZBxdSHMoz2auloC
So055S9IABbLoZEt6QffDrdhmwz3DkD/0E2+Tvfa10nf+Tr1Y5VlAgi7eHyTwHJXTKn2dfQ1J2hN
Dtpt4InW1KUjNvrXOIGaZL5g8cOGHjv2TvHEvS/HdlcAhVpi3JZYLCh/UiIntxbKPLN0X+OLPU8y
6TzTmPN0Y89zjhcMTbACBZ3eRvnoYDzumYjm2ciepyR2rSQmi1RuYEGgUc6KqMvdRHmFuMGQNczz
VjRPXqCl9CsxT2Mj2NTnEjfm6KLlMK4VDvyLW1PW8bMUSfEirUmF1j2yRX8EisWLBK1JXjUT8+Wm
N0y0cIT04qnyaIV+VwIQWauA/qtPHCt5ef7r61V8if5/BOpZCmAWYyshSMo6BtCAnzLdbUYvgB7w
OAk5a50KZfCPeU8ur6503Cmpau9Km9iJ6xGsXBG/vLbp4jwGAERpjzL7YW82PvTKcsKggwJAvg62
XH9h6qFDwUAnfarSDheSH+rlrdGXhOxEZKABhv3KtIbrNPGu+wQc8SLtte6oke1vWCgM3hucYH1t
hoW5A4kU3wAWHJD0zWivm9ot9PbrTHhnaEPakQ5I6puwdWuqf8s1rl+pbBkZzAhaKIbaccdTJYYE
ObU8skvb3AbhXJTXmBxQeXao266wkjOQe/Ws5xqwrBxoyp2G3QvSFWRTf2hB0+R63qO9jXF9xc2l
PNtVPaxrTjLNUqIt9zRD6U63kkMS76dSJZzXapWJZGgW2bvV1uDoYrvlICmbMwWsNdUW7G9zPQLU
L6dk6WAZY1WZWN5zwFbheZAjxq2euq2118TBJkwhjfDUNSx2FlGzjqzR32b2bGo1zB7emKxMzBu0
cL+nngPBN2lVb8MkTHp+qJ0xWgaiSrOF1XYwX9TKu/E6J3hNNcPbNJYfrubypsuAMoJSgOEOg1W3
hzkM60cNtSukxYlPJYfOJHIgxTqBQosc2Ti+XYNp2M4uINzsmWxWlPcqWT4XFDetISyrKUQouoBI
TssjbaJ1dbTK5hnfUHinBLV4KCni3Xr0Lwdu3pXcmoY+upnqxl9WqaEfgCZ4LowuCkjZNax6P7DO
VqBF95lax9xFA4eCSJtXZh/qKnU40Gm8I5BEdYNfUOW6diL9WKT5LXTDYt0lCBTm15NoAuJxYyqV
f+on2K7IO2rrAZ7LGvucxXNXUTEvkbSvfZIG24g+s689kzqvnCpU3cn1i3kT5VFpWi8wSIKCJu78
SjaSrZXD/kp8bbJqXeq4bnrrgewam65MKIrEqdUzfYbcvTPC1nHx7KPuhVvdMDX/asIrDbiD59i7
0fYDZfCDsEFizdu2KAd2taAji38yGejmKSSIu6uSudG6l9qO0G3DuboE2bBonQmpidb5ONpGtglN
aUTAkMsq1PKD3uqcJ8ovTXeY5d1Yak8kbWgvavy72AmfaMfiAhERmyHIl6U3zXBix1oXGjZFfup6
LVm0HoaAFVGt5HJLQr3Givv71vVPDhY/cj/m25TGwYKbFP5bXdONnwywKsp8jCRq7RxfUtl6XcbV
sehuvv6Sv7UI/+9tue/ylP/8vAj/wSf9b2KMBsbAGez3l/o/oR72L3Ti/PJ/XtLiP345vNQwv6sf
TNL/+PrfuQ/zFtnA9aYZnKnmDfPv3Afczpz9wL/wX6bNY+SfJmn5K/1ekqW3DvzhH6jY38APICGQ
AIVmc1gE68KZ8e+4pA3zxw8JRTcGZgwVkNCPh85MtL7WtvW0ST1cOQpVcBrORCJyZA+6q8KIzXzl
eOC9mDH6AO5fbcQrHG0lOk/HZnGO5Y2BJa9oaglQjwZrSbPcsE3miJ/SeBj6CkIo+Zr1VseVTlCA
tkSC6Hkz7himdDKAwfg4cODeWIQtVjUHAPopqvJagwzw6FcefiArDzasZ6FQt9QzOr7j7LIJapke
ZumKZqRqD8beWAjNCV9gzpoHCyRdSF60gAdZ5xhY7YhmW7KgKazyjqhi0XPL6X09uiUp0LBxgNBz
nFofCycSefPBfrUekFs7cddkSn5pxjIcD2XZAYetbHEsqHBae3bubcbAeDeiCdKszWgJ/K5BVudB
wHNfFHQmB6YHNTTuGJENcSijjgMe7ajPGNGi1TBRs6l5sdwTUhrv2pgl5KH2a7Q6mj7qfIXpWJ09
OKk8ZZXRLgIxo7CBiR1kZBWvBp5YjniFsrSh2LrUxOlLp1arD0rJ40dLjsWjHzotgLhCPFlzuZ2r
ygBHZKpjaaOjrnELnEpvLdnkvd6CJdgEFnM4yLZa7nqCiYDio1C5U6BMDExIlsfXtYnzSUAEhiKa
JvWfRIIPpuoXLwqwC6AJRkegmsMIPRQJqd0p4ruEtCD7BKurZoUFlaXDpIsVfikCrok5LoP5TwL6
GWOOO624mAI/dNnzLixFpRcPkH4Gojyc7vz7Wu85haadwGZK+szSXDbMPAuM2PavU9PSd05aBmdJ
wMXVisoLeLvnOD9kwBw/ZxuMZw+i8ALJDcWWbynOFT/iC/FJnLZSwSufjaUEpkhREP1Tfb72MJML
jmdptQsMZVynrBg/x8LkZ6pxg2Ov1QIHzYmPCtJEX4qLZdbei6O2BIjZPfCPQRPE4Wg1XAY0Z5pr
vdQyxNGGDQkRz5scbhyGDqfQQhABeDlJOYWX0Ej8Tyz6AL08woejCHEPylyjqJWdW8NjrJ84/zl2
0rY8nxT13ZPK+DLRRXKv89fKZU6F4Kfq4Csl5z5rGRDKalKhTH3zlrbGv1F0RDcJ1FDwuURZKIg9
JSLPl0Mnja0jUcfXArHIOFMlWdCS3iHArlBWzWBRwlwCXGBX8lYPrZhMcaGkpMVknYlVpJU2VVZD
q370Ywm+HBIjuex08is6lTLQcYrqyb0G+K7m7OY4F8afN6grxm7UcrSVbEq2APuay+DL4jgQBlxO
WmmceVEcw9XsYnigSNh/MXTASqlZxbti9JpNJVpqaRITEiaBUHFL+JJdtz4FNLMxWfI+DVimDzj/
+nzOvoVzcNsB9NGzI9lyNvNvHVEQI+gK56MSLPcZyRS2iVYYvIZT1L/61L6tTZASHDT8/hxmtbIH
LpCe4dhi1wPDAFPb0Ebjm1KNOkOYpXN4TCc1P8IzVfGs5P43vglxuECFRBBpODYNh5rtuXELfZGp
lOy73dJYGXZ2cqTxmkSl4dO8mLU09Vh1VLI98hhwClY4Lu7JuAMaAO/C7aAekBDX8z3OjiJZ2tb8
rjWW8I6IGcN2NFlhBhULstVAa/FR1pyb4dzM82dZWXUxG8rVF1kYzj1BU5CPNXl9cOA3Ywa80mdE
XXSGna2lYmMXGUic35mycw5pgXzmG0b4lovA2LdYGFZq16ob3cDjCNYgXCHO2Fhv8ngrQkUuExn0
K8kmbMmlTpx3vqdnI1b0sjGUvekPxjMlG7AyQxKcG9lj/4vHJLxSuO+dUmhn104NWxaLQ7dU86q+
SO7z55JoOQp2bg9u18YEmPvAOMMYYu1UK8GHZqH8kl6Ju1VLs99hSodoS5lguKWFlG47w1f2TJ6s
dHqR5TRW1kO5LPo0OvkyRajWGJPYEDj1NorT8JIqQYTRpbnhpOhQyxBxzeKKdcQzz20in1VMNF7K
0byZVOyjeFDgBJeOSmqV9prs2vCa4SEa8uAzimL/goXRuxMFERyujt6hTB2ULMgU44oyYWrz0tR8
bMOoWqL82S6H5nRrGGRdKH7XlDVJeA7o5NStm3TQrWNSTeYy0af+2FWKQbImsACvRJq3h0uIX1v1
e8y6Ybj2g0nfNUrnExHSmmZtKVFykRZc7xAG/FcIuPpQJbmIK8GK7AUbCR12DXMCmBT4JLh3huEY
hCh/UAkYGLGoHic77Z5F7UdrAKV4pHiKbTonzed7vB1Q6emxVUGCyvZlrBdX0Dzg/VG7JT70Ls9w
bXL7nV0BILJtOpnK1q7fPOqEab/OxLpD6dhP9tR+pDa35Fyru9vK5zG0sAxq5nTLt/fsu+IXETrk
fzMO6Nd+TOzCHZMqXJcSZKdfmTNayGDtXRdWe0Dc0Q5dqvZLFr7tBmNTuBmNnDudwtfsQs2Pj3np
DefIDsxNM8HNqE2cIr7flPden1VuyuPE9TNysDFy+qWX1cQy27Pu6sjpznB29e2UjjyvSQAebMW8
ClQt29UzdWD4AhCA4LCObFj9179/Qv/zs/cPEcX/8hD/b3hC532k4IhOKDF7R3VJYPCvzuvLl/fq
5ZeX7P2XqxfKR3/ZvnQfSfjL/+P/WL6kL9nXv2KV8v0h/k//it+O9Pqv2JrRfmapVOWA+MeRnnCj
pUli8jqB5R+O9EL91TI4/TMHqPzYpkpc8Z8sN/VXFYMi349fZ/6W9t850mv6j0d6fnBqUw2hgpCA
RUou8id5CipEH/lUpXAeuads+eTcaWt/HehuxZrbw2fphjN0/aLfU7DucHlG93UZrsP00RuaZQgc
BnO+q8bpN4fbaxxA/6mBw68tG8sahwQ4G7vAfh0H6lMKn6RKSC7kG1SLFexoc6FOtxwGZpDJNXWB
a52bqv1J+CjZeuZdJ6789yCj1kYeMdktsh7kS+t65meaATWvaHBTFlAkSIg1Kf4TChrSbEmzgJuA
lUrNmObJoXUHI+IptFHNiHIFrSEH3iZXAyUObJbMrH+FsHxfN+oNMahgGXKmX0h9LFa1hU0ie2uS
axMFivrxuEHKAnLikzhHcCE9iEP/TAcfuBuqIfVqPZtiFQPgHJQdOpkAz7BdJZF9XbdVDHm5WraE
4GcVLNHgGkH3XVDk+SFZN7tZaTyrkbLhbVp1ORweom6R16+NOl6PxuhWNFxHOFnBHp3wzbEM169w
sL3Flgkjkp8VlIZcFJp4GMLxPlemtUgR1gwiFhHz4SIwrRRRhu/qB+EZq3JL7VYNt8gOr0qQP9Fw
+u6y+RNFAdLsjxuCr+sO+RNpQWNu/DKCf7+riDu1poZUcbhnpfdVo+RY7OozB8ZtAJkfvbtcJpa5
b+Jsk5CXS4cN2WHYcna7HIHlLWgnAMLlOTszTLakaNZh269Zl9M65uln7v7rYeBIaXAIx7q0LPXw
UGYHFX5VVWQHbVyjma0oqmT7ON3IJNjaVr+qNOeq4S3Eqv1JYOwi42fmWeyukpbydO1HmDS1AKEK
HFjPGieqjwSGl2LIZ3DWtpjUcyWrdQcidFSdIwjAE5S0hTOkmzRo7mCM4+M0N5OzN7RvnHjgd7X7
0pwgxADzUoCdY1wb2EfxqaTdZ1104dHOTlaZbBSSM/h/XtNm3CaJuuWp7nMt1Zh22uk4Dc0K1fIF
MNA6z9Bj+YaLlmbRBXv3PbcLkAf+VZTdiao64X/e1lp/lw3fgI4Mh4LlsxsBNXwuPZ35M6A5LNJX
QUG4P+Ij0ps4wk1nW+rVuzrwM3ZYif0Rrc72wLw4aOOHsp+Rh9O3v/6YiFk8+E4g//qU0Pqpk0Bi
7Y9D/0dxYQI+CKY/81bw8j58pX30ePm8SvtGT4A7ddVes6oL1fRXJDCv/braRf1wFVJ8p8U1xIrS
OsbSiZZRXezIwl0HApUxbC5kWzMiSXACg+6zkNm/+HQb+s+fbnSYLzEGOYamHvXn/Vdd0HTaaZG3
Ki2izzhI9x5FihPmJFRMsNqJJEEX2Bs6o5ZwHLbMuumi1FpcW+uhYEkZcGS1lEnit6aCprAsPrO+
WOUi3OI9FwthJuDMulturBs9Gc5h1N7isL6f9HnrLd59Odymxkx2s5tlHmD48UIOhJXZ5KvBtrk1
duJTbQOQfU2jEBHusQQBIV8kRX8Juu7c2y0OXo/Z3MxOAUigNVH8byU73YUed3emllwj5SLnSFLR
Cuw5qRd3NOl9smtKXDs0P00lua3N6Cmdwk2Ftxqh8hOcxyaAckF2axH65a6qjcVEzTDlmg99qm10
CosXVvXaB8puRAXP035VkyhSe1elSx5tgI4KqvVwEmI2WKWyOakKa+GGp0ehCkqxnK2CoQPxqX2M
qua+5HRpZsYTXqx7P4SbKbJp2SFaTEqz1SPO0b66hQ50yxyxVf1pgfjy5qnFbQJusxW0gQqu90hi
AyZbmKk7dJ8zcMWlSOzbVIMb1uKUbVVn5WiYtCnE9AN1zVt/xGO96jGU0rb8mAwATMi/YoVy5Xhi
iGswLdejXFOCinkGbax+iqZbz9TdOLSXQXtwCDdHmfdY8RJumG9Dqtxoss3SjR3jd+7hL1V68wkM
2GVzeG4hpFJ5+Fym2KqoRMy2M0XeBUpN84tpNY+UWtzQdlCBfiHEW/UQ0YrujJjwViYGOQDxSeR8
5ynOo8G04Sn5O3rQek6WA233jjSx8BVdfm5KJi+4gVFe3Ka9eYn96GCAGgN3SbHFJEdKZ4APKc3S
yammwEfk+XXGk+kpEv2WI/42BbK8iLOQStEGbl+QPRGRPg6V/pDgpF1I80lO5d2Qtqg/UbsrPetz
EvrBawNz1UMEXSSaj3ZoWpCMxnFZ+XayksZ0jNlD0Z16nbIz21iV+mLQfLHC8n3J9fElJnTMxrd5
wp5C+wbAAtoqxnNlNPfdZO87wKO4C8MV0PpYyAeW5EzH2uCKIGLoMwHMtQd1GF7TYXKQ6BII8/pW
6QemKPWcmiQ5pfeQkh+2K0z4hnOBSX7y4+cJiSm3W9fxgqu6C290UIMjn3YjKj6nEIMkr9gwOLfD
qD+KktarZtpVWnnxcJDG9qczqd8Gf1hgclprrfMWGWIZpqxHfSkvnvORWjwynJWhXFX2VaFdSf06
ay9RF54rJV228OtMnfU6qKPIvk9JKsScOvIJjz/b5o6iYxF9xOG4yXrS8fWT5dz1khzhYGBo+3TI
sGviufVvLR9YnF1hjrshXoTTEfpVK/i4KKdIvQwCjEEwHVVS69aIIZpnVGgau8paSyNdxV8d3mxW
zWutf3NkQQJFf2ooizdHrutYPNnOOR1610qAbUFQ4175CEUjdttQLv3wtYdqmbafeF1c2ACvg64n
a1Z4r0phbskqb+NQe+9YypHHhicT5zASypgxlAC/GNnZOLm9i4KYjTQ2RXTO9CEc8YUMYjTelUoQ
iFdsVoFgUPt8OtB1fhf4oIymSJuRqM8UKzziTb+bhghqKK4pIhehqxOS3flNjGMnsbMV68p22fXZ
W95OG5AOW5x5C2L5FZMnxyk/GG4V+mLo7EAlInqaRv1Lg4LMlnJngmRz24YaVNN6Tbtu7/TBhz22
d3hxCreMxDYC1gSagKMJ4SdSWHPQRBCDj7rmjuGco1264qB+zAv9E5+sG2kbvzH3hpFDPapOMYs3
jk+noIR4OzYbWsMFbi3dXxNJChZGL5VlXzpoPLIiW2k4DShRrGP/N5g8kVgtx7RCOudYRCqOwfYu
VNMnKgMRpPKAUbwGjRZoe14b1pi46Bei8KjpsqzGtTLMqipebGAX5u3/1Dz6bzhpCjZnfzlbntv3
9i34qKrx++nxty/7x7xos7JxDEnpnypZbCBK/r4CkkQcdbYvkoit+Me/+W0FpJnMi4L0IYh707HF
vL37bV7UmDIFrHpH15lDWTb9rRXQz5gc0+QKYR61CJSp/M/5TPSd+0gCv1bboi1XiMbPmKXd2uZQ
C0recinu5eZbtsPaB5BaZPrbX58Tf7IbGT//1T/toESkwYpR5x2/Ec/XGpbqIJpYhXqvfUkt3V//
beLn050FQlfTGY6lSqCTPOePv2nkdZEJdG5c03NroBB5lK6zS1kOtmAeqwvaYiMYotUI4yxpSXtY
neXGBbyLzmyfEKZIsUz+Q5TG57GxThTCuTrGhEWjeo9ghiFBlGSlwzw6gFGrV3/902t/8uNDRrLx
+82aBx+o+Y387o3ChlBjUC0N2vyafGvhUK8XGAWBRBLCZ+U2UVNYgBacCEmdHYKdt4Q2rsWAm70T
Myi7LZ9g+PluZKvPipEdAx0qcB6/+lYnQZmEu6ZkhTX0/FmRYrbPZu3N7+2NmUMMce2x3PmlUO+U
TEVW85IKekuyHDt/YU03I1j1CCpoJ4OLIaOtP/avNTuhuA9WXUtfu9c1rh/GNyyjLkUy3hrl+zgv
tmBnfCMRO23gO4xLeAMWioBDl6HGUYqOnXYnAjwldW0mS2nzywyZ/mBUmr4RWO7vzFi9yRSgi5Bw
g4tOY+wRsMz4EqUNEXInGjYDjq+DiADfGSWO1AW54mppaG1Iu5iFWg+8eKtasb8Gf0MD9Rx1xE3t
HbGlTgvo5vW57xi92J5k+6bO7W8IPBZKH1EWm3UHToGZhJmZ5rch9pyVhJD8WkjovkXbqPtOO/Qi
6HH6T9SHqTbPxEiP87U0xbTP6PNaqHOxfZfRN59ZxXsYRu+hn5s7cDgOu6ASucDU6PgqSDGNAQNJ
8oyGui8R6f3OxOPOWyPBpm41xiO3iDAm9PDvlklalyfMS6uhze8goGf/ojdFcAP6Yciz5axambrB
R1IQtJ5lqO8+j5TzaWXRjLSHJgkpu1BOOV3aZRPEbmb7BTYSqd+BQhmOU9Aq3wJPagybNm4mLyzz
o23p9wB8GQe97ED+x/4YMtiqOs/BDawS6j7ZZ14CPY8f67JtSdV46uf/1JPov6eM/vCn/heF+AXT
LTfH/9rgcP0e1gFukz/Ab799yW8PNDL7JoZVA2SHTXHFH+A3W/t1fswZmFeAY6OAcpP6Z2ifLgse
dM5cd0NYl6faHw8061dEVI1CHKYtpnLp/B0BFMvqT59M6EFs7eHP6QihLIPmT+53n8ywM0uSws20
LhIQlW6eyiRbsHtWT4GFg5xVl0NeQPMAEsogXYkk9Y6amSVrj4nvEEe0WlGBkIIr0kOnoL6d61tg
SSKH4rGu2ggS+qdBA31OWJlVBbM46NIs7CmWcsbyaQopem5FnpBTQaJK6czctmnXrDoIMlsQ1tk1
YQuDIA2ua2cpdYMwRxpTZckljm2JRXpVZTthJ8YhHLDkLdrCqFdYq5QT8CC82GoMd3ABPUT58BAi
04Xda85r6FBFDQXHPuUyCvdYOFVS3vHExSZ187FWbYJIGlxOnuoFtZ2AmJjwl0JvKUSMsughapLn
flLDU1iFd17FflH6aYcWCxvYNKeAkbEMLrDVzFuOrclJDSOxGTqlXqmsSBch9vpdNyokpDuVpVKV
rP08m1YOLx05lShwFUJhFLYHmB0pJHMxo57sfEgOxJkwZNfxOy2KctGaeXjxbBntMtJaKwg747cB
NMIxkJM6k88Z5NyQVC59p7au7+O55NatVR0USd0WlJjiDrUPSuMz4PCikQGCSjnffbDIpYDLLVBR
PqqfOdbDxemSxNnZWSjmfKpfXvP8HJmZUlG/gHHoy12PG/Zg+qzhFgh03nVup+TQGVi7udWSI8Sh
L5grWVEWAUBhy4Atz37YOdcdKSvXbCzDXmcj6656YKnn0dXA8oxILeUabcoSzjRqOv76OMKmVYur
sFOib4SYySfUfbbJIiro+JW65FL6jn1fNLVcycYejvSydtcNUWjeSiarcWEMNmtohufu1tbyADJt
qIvHVvbmQ15o+HELwL43DgbwaxO3RrqUlZdvW2klW6jtfYHPhj7RhvrU11KG0U0dBvpKV5irVlEI
1/nY8yt16zbRcsLNSeUxkJrhJbBae9tYsbo1Y39YpzIl9e3FXb4tCys/JSJp1n53Kypo0bLHW6oE
D3lPuUUej91V2/Aaa2jzz4NVtmcJjsKVxux/rLLrZtCogBmBQbfDdBOXiX6KYFavMSBSI6+l5clJ
pJ5uEvbvXNWUu1I2X4HaocuA00xRgRldtU5UTYAQBrk0WK5+WJH33OD3P0alnp0YoQbQitQcoqVZ
cKrhiB/zccj32VRzGLKF5l1HNQtn2AM8rNpQqXBG9FrI9lwNrZssTOoHDWJQ45LUsE61o1VPA9Us
6VKrCrYcVGCaB1lQUbUDFV23u6yki48duW6P3wyVN+m2tlmG1zLL3xOnzzmlaaVpFjwlKQOlNqRs
Q+1RYRwddkEEjxNyX0ckO9dpRoGkgaJ+zMhFRNga9JC3Isfi2bcWUCoAk9QLq1o33ge2qi1hl8BR
EgM7jYBgG0UvcQwCCet5hBjPbRoZW1fjlSXb5DEMh37TOpUiXW72D23p9EdNb+orpVczejWlhOrF
4QCHTjKo75YVWZsak8UJ90S87gLFW3cU8Jos9yf9OteG8TWrPe05qQj4WVUjtwNXEXfYwl8TI0CK
DIVGLo1S8ZGNEdU67z4BqJvJML2PiHDeNrba6b3qh25O3PCNNRpQ/RXDNGmlwddlfQcwemYEW7Xt
I1BiBriMdWl1K6sGrrS2Sv7ozo90jRRI5fWIVVlC56fg8Db3OqTJKUutQuxSrFEQzQUeUWRpf7qL
WoMkrB4YuMbmdV6wrG1jLjGRMwDCrp34NMhc4fHi6/g8A2aniQDzPFXnm9HJJ1d1QLpriX+dQEU4
EnLyXUJWA8WpBhKmzoMHQ3c90y+iCYnBMXvso0OKHlX195IQ4rHJHVbSkyGKby1OatOtYi6JRd0P
8C0tQnQHX1HsaV1aKZaJNAFavo39rE9JIqfjm2qUEcGoeHReg1Ih41dE0OIWhYUJYDGWauZwapv9
WaCsyZwYoTRGnMJ5cqktq55j4pEVHJA7g3CJL9l3eILlWXht5WoFOi3oc3JlhQE1RBj9iSYPpENp
chXUSnrIMXBse5qdEeIi2ioidnYLtQ+IXgxtQx0u2l/ZTBejY0hFTPLaW3WIDWZRpcY600QV+lma
dRbjyRSbL5UPTWUZ0y3zWLWyBVhsFhGqUjN1waplPWMCo1ITDthzhwtEnPHD1xz1HptDf9tQvREv
825sbolhOCyZCEcMijAuWl0aj1ApU9o1M2NfSyAYMiIn0ffjaXIIyrutGSAYyvg4OdNeNFywC6w0
03ua5OxdWn1GsompNiUR85Q0e8pbSUtrmVbjuq56JdsYiaF/cnAa23WhgHi50X01uJeB3s3fXbUP
sYY4uYGrpt9HQ8T9jr1FU+xLoNDVqkrL5lqx2sRDGhPOY5E46VbLIoO0tqGW+pa0OGB3T/EYaMyA
89oCA1sslzWVF4BMyLyl1zXkMbZPKPzsj2L1ugJlMZIIaKmwr0gvcoZwyKSoVtIiT2cpGvykLHPf
m3BP+LK+rSdDeZmnbdLpbT3nOn2fG42aBoYLoaEsXQGt75rfutx7ATiMrVmo/eDGQVt/1EmgEqrz
CTUuPJsN0jYfmxn23+pWAAekDGsXsAU3bHPSlBqDY9ozAqgFfepZY/bAarTinfFGxohVHSW6AdQ5
1+jLNxvn2LYoJ+utNegNc+3BsxWYEwqBV55M04qOQipookj1n+mIqI5SjbpHJaSOmaBCHZ06Lb+3
+5L8cFKHPsxay5IHmgyiVZR2EWCVNHtXDRLRsveqpymjvbIqY97zrjXbqyEuCGDiNmF3k8cD95SI
YTYx7XhcA/srz1E4kXSk7lqhrRWIHZvOsoTe2MYVIojqaGzrpegh06YCmAbKr482A4dUMWz/vsV9
99EmzMmu1/VJvsrbHNRnOM0114Oflktqq4uSu3ILZbSsjbnpXad8xRNRii2q9R7gyQBhZze/Ya8k
SGImBa7NERLOGGw4kG6JeCFxVlGUrSl3huyjTuBg4gHkLJuefNGnmYE5zOIWGKZx/QivLl5hmh9c
nvvcTwhjib1Pc9y28ZPimMPZvSsJQdAU4aVLfNIDbEIzSdy6UstXv0rtEKJ6oL8Nae7CdF15cT49
B5750YXsTxUsplvigh2K72gCVjdGm26JNjdzakDSUaWMLZg24xiIWQep1Cfqpwb1MShzJV1Mgy5Z
LJv2joJPGIN6BZRxS80o+47eaQX4SCeLXwtWb9Q5c4NY9kZOH7xpB0rnmrlTbCseFySTfDz8tL5d
cifsHzBvlQvZJ6Lf1CQNWyXIDp2wcC8gogQj/QqpPSyqLMORCCy0v7PjBHCXZNWBQylOX9mwV08i
jA35ldD9IMKNRG8Lk+892NUNdyBVUBOtgyOK47wGTdo7R0PVfGWJyoisG2XVraqZWJ48M06KRT9m
5TcztNDt64LFMOCbiv52eyjeWt/i6rCAVzkHLjwOhmEW5C+O2dZ3+LP1Y2voAjFfq+9t3caLqBct
LBTdN8FJCZ/6pC5UnI0hcvJEVdYHGGHV9t2A1xhu8yl0DqiMJDvV3ALwH1U9UgTp4Kxjh9sogJqo
2iPHZvh0r1hACxAUMGNBslgkbcIbSGoNgBFHNu3FAVOw18yeeIlIYWqN9nwE6xqf80A6iYrDgQ7l
hzNhjWVsrI+jZ1Z4xLoR0wmwL9XZBJmRfnCTiF6ivrdOiQ12ZgkxPlv9f/bOpDlyI9vS/6XXDRng
ABzAojeBmAeOwXEDI5Mk5nnGr+8PLFU9JqXKtLJ+m2fWK8mUSSGIANyv33vOd7hnKqwZO0Qh2GgB
+k7SkIkd9nIINlF34GWF0RwiN+kKXdtrMFEX5DxhXDXbfsWqyvzZQlS/JOnLY1wtI2JJ/Gn07yI/
cd58p+DVrgIZvw6tGR2rwnTo0ADMgCtTV9qr3ob0G1VCpkIlFmvadRr6z6xgQjwcKg8RdDnFETE0
QXKpR1N2lVuAjFzcz9J16oSFpcgRHVZEIposki9OQkOLOZX5HAITeB2SEhRCYY/+aXSy6LUQGMow
6fi3barFj2Ab1FsSfDn/WewhF11ReP1GaFkNKNUSDUkKNH3EGsQvU7Swom3Ga7EamDLbTAO2EK1H
N8tuR6K5Eerwe187kPvc3CjITm+JsTyMfoYlqB2a5L7GvbgdJoqLJY6uiXlsVgdvUi8oFnPPXpWm
lW7mRHM6b0j5D37jtFdS84JdwhdwdswuuWW9KI++zq9BZaTFlC6k+zX4iHDjjN1Z9IhF+UI9jl9P
VsRqOzgGzJ18uvvS/vgb4ctfOtXI7+kjaDTIDQuj8jdjbGHisqehNm0w+ejs/Raz1yGXygGVLy08
oquzt19fcZZIfJVQAMgnbMi0yBBVHYQ237q9ts5XqRfNtIkrLbpG7d1cGMEsmkfwsQ8nQHXabLz4
9UXnDvjPF8U3qzMEcFBcCu1TH/GlcSLwNk0e8I1NH/jJkbqmufI9tNK6GgXnYqqAm4wjWXR9X75/
Xvk/shH9v4gU/6e24pDozXmv/74Vd3ivXpKfWnF//sifWkTrD+Y/NpMBtDZ8aRrPSf9eN//nf1kG
sbJMO3huP0dLFv3Zf86WxB+WamtQklD784TNXLE/Z0v2H3T65sRLTfD/YhmW/0krTshv3vb5ZZEm
ikhkQAZkHPltxMMYQukpYfDje81M9Jn1TbmEqI3HpT1mEZ57T20F28eUb9VUb3ZYgGKUKKlTnIJY
aR6M3qCLldlB9CiLCnqyqmb5LkFRBE0BPqKFF6HJKJnwQIPKYp/vpOzDY2WW+Q9jMtsD2ZFOtW9V
SZetzSFqrH0DRJtrTCzUq0YhwHZRh0WEGI9uIuVd4r9lvPLp0u5sqS9tnQ1t0SBAAAzYwWI89Eps
4dZEt72CdT8caUt5h6kuq3ZvB6p8KKdePHiWsEE+Kv0lg3tkCt1UK4haiLjpNFu2C1ZsaCwYOJy9
IG/yos569JigYsiq7Dh6dHuBhUVd9TihWOaobm7VrG/NdYzBMFmW41TOCNA5baVHpopzmIQ47zKw
4O2vzIB4eDqfBnCuusQsfCm71KqPQhpNDX7ZqMjKBHSAhz7SIKG0ll+pbhilBeabIT+KVgGyp4Zj
RSckUs1tHtTQpaVuojMw+mi87ScBusiLicFaN82QoE0Im8ghSYgOy0LCvvwRK+AtsHS0Sb4cic2D
x+dD20bfFl3GzFm2fDPGWbWjbjt6eCo8/ORXgqEjbCM6NsMKUE9+J3R2TaJk0sHbSL+K9zg4VZ+R
STXcq0Vs0RRS5Q91sLEZUICbNPjagVtj+/aULvpIJqvWrMUDLZT2wfZNo1v3AMNtylrw/bNFFppF
2ma3RsC5io4iWbeLosH2tgPUFIyw/P1hSe9ksJdmo5KW17a6fhOlRg7IqAyvaRfBaEE8JH/QXJUM
5ChEmRw6or+Iki7At6aTHYzJ6t3IAvR/3mRy9MdIPHALvMnZGTT8xiUdN+GxjfYaf0+TqLZoQSxS
2tyx209OSiZwahTGuodtT9bWoExkfrahpy6hTU1swF2LFjDzOVGouqz3NSb9eImtJzcX7FvAPtWi
aj9gfKDc5X+RIWucE+lQZ8SYtPHJtmuP3gmqfT3zrtOO7FEBBKpfx2QvEukAfUOjrzYWUEJFUx3h
WsZvbWj46s5OIXFlntlWS5lEeQZ1n9xPWCl6k+IgRhxV0yNEvdvR+1TEojaq6L6YnAtkClit2qq3
4EiBUzmoJN/yOMptMlo9/oxaje4z0asbJrfTCg7HdKRJmhzGoBPrchBeib6st/q54mm0a60K8/sK
lSf9UBx2Ztcj4tGbItobTprd+kG0ahKYqxt0WfUEUognhb6ZeQL8CCiwsTO15wK0eejQKmHxqpNG
cBSdhrUN0n7a7hXhxeM9vk5GC+U4dgRXEa8laXe16sxDhEZOnZZGcfjqKbTLe3gBrzFTRg7TuAWC
XT8m2XSJrk8bXY1Xpl0jrpGcO2ywWCPsnka3d9KZ2ulS99txOimKEt03zJwpD3Uadet2MEYGtGYg
Wujezcgyjyo7QB/ox1a+pjIsX/KhOGS1HeHFo8wdc4YGvElugTLZZU7Db7v43/81/I/TobiqRdds
tIIgi/+/uX/mNJ3HguT3l7c0zJZhDcniR/N1aMYO+2tS9vElZs721r+/F3/zc3/u8MYfaAF49C2k
KHRT5nLhzx1e/KGqGuZhJrD/HMP9c4fX2OGZtZGihNyE7DYqvf/a4aG7CP7EmU0MsxHhW6zSr2KW
Zjz3l5JxrlEp8S2Lc6YUtI/nueLXWZvJPCSoADAvZZ/unZRk7B7bmp9Wz01NFx7vMWks9ASiqt14
tk//31LvOdqrx7zuHvU+emqLCsz8NDKo79otGoSrCI8gpBVtTs5RwmVZ1LDfzOSxsdE4qk782Js5
7/e41x0G4FlLi6IvFFf00eWXUuu3Zf/nL8f8iPKFQSIHGePbLxepyElh2RpLEvOWGi9e7H1kVXGl
Ssv9z65k8E2aOFro7mArwS3+8230lUqzupT80lrDMutnCLsVDBLowAp/+etL6fPR4acq35jNYHSo
2a35x/fBPTbAPlXwUC0z2f2wvBLcZJo9NADLmCJpO6LlwWDILl6qpSyWVtfWLoKabmH5ZUASRt9s
p7bYGKH1xN86Z1l6UkxBmKBZPYIPO+TSehHB0mBNW5oyf62GdHRhj0xQE8vjaPiMUcwQeb6uYlRs
651eB7XbdPGwMtSwXwbe+CK76QmK3LNOIxvQoGr+5nb/xcfAL287GHUocE0K1Nk/9PWx9Uxg2qOu
OMvctjdBlC20lPYP+aNryKZQnh6LVOJ1A/EW0BeeAz2Ylr0luAh//WV8XujnL4NGjy50PBWGsO3v
gPmRiY6f+iZe2oYqRytLfJyK9Wj7NU4/LfkBw+Fg0LQPk+RQtdM5N8drZN3WBo9NwgRYXOttdQuc
bzmY5Qaj6MsU+c/pqK2nxLz5zYf9SzWP4YNFyKDOp+fJEvLzXcsiJOhxMwQrVZ0i16QfaKk9VGn1
tlTkCUP5uW4ZAThyOw1yE5bqPVFY1YLm0iLgsFpN0bLTSOFtNNK9ksANpDz3RWX8Run1l293Pi+b
aOSQeRmcbj6j4b6cY6nKLBmGlrLswuS2sKNyjX2yX1DZXvbzgcBDnI6Sc45Db2BHVdNzV063Y1qt
WsqzX9+07wf5b5/F/tY6UCW9CTiL3tLLiHQhwjh2NEoLZki2QNX0u8t9rklfH6j5eogzUGfwTSF5
+/ZkW2D6bNoDzlJvKH9bv8gJs8SllJKZNRq3mp+ItT2m+bLLlcAtUyu8ksG445D1bI26Tl/cq1c+
czCMk9nj7KHxkUukUX2GHxUfEGMlbkssx9ozw2t6lC2TGSY6+nTE1mpsI4nBvtAQJVUdMmlM1KBn
2gMnWNysmQlB3oDeXir+2qM9uSjwK20bWx1XuYnk2gT3uYAcpq8afbr69RfxvYfzeWMEyAz2KsxL
swHv6ys/6mpS5w1fBDyG1URmZVRcDLDB4vQ3PhLx19eEbpHOpogJi/13Pl5/vZI5SXLPPN5pPbJI
cIrfMxDvfN9F7U6ODqO4Dh6ioUcCN+2adrzRR/Hk2Zjsutp7hhbkZmb95lu4GtR4WyXi3DToTfJk
8+sb8mnD+flR+flzfjucq54Dtr4oESZP8jhq/bqOMZ2pUfrosUFDT50Jp5iZ8OQF9SIZslM1FKNr
F+WjP4FZItteuUC7oBBwxdQJz2x3ojWZLvEMxFszs72NX0pjP+HQv29pq7vIwy66mQhlFG3NIQv6
qCIKg0eNC0u1gwcxjfgYSkMsIFE22B7ClOZo02LPzh+GJnrxgkLwHvXjMyj9e4F3mA4nfqAUmgH+
fh/wU1v6B5wCE7TW5P7X9+yvDxHVDppdSiv4K+wgP3+1ceNQbuiZs/RN76IhptdsOjfUrY1XiH9U
zXSqCP78m+JD+7trUXNYTNB0NJ8aDZyvj9EQkS9R68jiOzHp+7adHgDs6oeiIvgq6Jksk5lAQ2E8
1f6Hb4VgE/W6WAiHDbZv8mo5jRp525FZXWnO+JsPN1/726ODTou3ljYlb9P3si+JOi01bUbmZP7u
R3KYTOUwlXe/vtlz8+r7VWy6n+h2uQYdqW93oBKYQzqZ+BAlgoU9zAwDE5i9ZzabKQzmpkJ70/tF
8ZKU5l3Uj9dmra8genDCMbKW7I20gGwQIvOvB9BjZnBMFOQYlWcZvyko/u6TkkXBpshjIeif/fxd
NZj3E9IzPMCUOatKCG4mAqEb0PfxmUcS9W2tVZpEtmh+s79879lalk0VY0vklOzK5vfFBmR1M+U+
0RRpYd0jT2OJQUzm0LTNxA2BddBNy99cUvu7a9IOp1nksMPS8/n5t3WYuRkWFj3wa96G87xG3m8x
7Av6jUsRUtqnaObj7q4MjJcoBGo+YcfCGsMJyncDJc8vbHikEcAWLbfoOp1//dx8tuN/ejqZ+1Lf
UeBalsSRPX/+L/v/oBCRrIoG2DW+0xAYmWd6a48x64LMQUmmxZQcDB4iWJUfkRns20k+13k1rBvp
PVXlVGC+Mm7oRH0QJLxOBxX1EgdoJQ6vehlvwOqyVeVgdov8B4Bom0A+f92Bhtjl/DEKiH5POBiY
ZjD449DCYzfr9zFVz+1oPGk1sZy4RDtCAQza66uOeIDffEPWz8cyhhQMCjm20MlnhKBhIvj5DmRh
SCdUC6wl0ZFnkZrX0BO2DMqVRVEgvSFRr1rB3z4Vg5+4msd/yU00kmNSrxq/vmmq/oYODZuBImz6
K4Y7iIoN3iJeiFg2q8Q5lTrgZDS9Ovo1+EH8I3SweqwpvdQWVhoTgWb0uMm9F9tkfCNJMOh0kl1F
eNJ8fRknYlcRLdtFRET2Kl0z+h1vwUxJYiZ7UbXhEiC5q6kpwa/DcYiiY5ygJx9K86VrmqWi65ip
s37TNPJE7OiGef20GpzYml1i09rIkLEMJNHniqohMyGppEkH+L7xsA6M2tUHqQDa0PbCLH70lX+Z
J4/WRGxu8/7rh/Ev9R9JVJJDusXRbuaAfVsZWpl5GaIj6jEB8XFrWttZFqeDgv+z9PvvnqH8DxIq
Ww6Nyrm8+vfzkU3+8rV18q+f+FfzBHoaAw3cMqyQbFb/ap7oBIWBSWBbMWh8fZpy/tk8MZEjI112
NGvGNTC2+FfzRJuHKrM1mG/ys7vzH6Eavm/w8wdTaZtwRmFyo38v1YVFq9tM+n4FTDnHeBFMLFKg
2DWNdDsljYb9lzvzNxXFvCx/XRb/cT0uaGJG4n58exQTX69jUsR6ql/Y0ZTAHx3AKejieDB+fSUa
VH+9lmnz0GNU0dF9w7T4aQkmi5ZuYwDlh6FqTPKniX+QlCttFwlRnGLP704tOYCbRDTZ0i8r500m
eXdVZ0NMKqKBAANwp7ZHtsVYP57pcxyc/OrBQIIGNdRGXCWlrzHWEfXr2JMX4taahSAwGmzirtMp
GaxFD4lBmYmUqG+0cwrmt1vrFuHOh8ao1KswgVHj1uHkcYaxDCQDQb7C/gRclE5T+9EOnPcRanrL
OGNny71kugJSgwUTBry/KQlBxsbfdNcR1PVDCUqo25ZGG6OACRw+Smt53gMTOmTJAuS2RWMnsYA1
2CPxM4qvWJuCaJh8gaxOAXzq9DhGaYwTS0uobvWRRkq1t2q5s3yeBw098EqxsiME/jMNlLhYxlQd
eyJxpkOICPFqGJLjEIhmZXgqTtOweFTSIGLMIa4jA4R2ZlpHdiPYmY6A4FVUJUmkSnUcA47iaktU
mKei+0k0CHRLRdoZIyozXmnKEO+VsX6EJ4dAcTBifJqQbKUF3WzorIsmi6J1UpMxE8QkTGpADUys
h0hlx03si7klv6iFcjOW3dLUkO9JDZWuTZmNScXZiVLraK3rXL4iGQ2BywdxYSTGtBH/wryfHkO+
rZPGcbvEwtcc1GSaG1xcyBRvk61e9y1MojaveHUy/8UX8SnNYIYJ6b/23oxJrxN7aWTKJuzV6zwm
F2e+o7EeIIsygtsGiZWrDuLNbDECxNauzCN2RC3dqMVgL1BMkBVS69eeHiNZTrW3SKZrjColyr5m
w3D8QyVwZhWjBkNL9tF59gXurA/GdEciV/Z+EWtu3HkQGILy1kcyihQNKRPBJ168aXTlGMAYWmHE
47nDjIaYBVSuf4x0o1eZSXr1ZdmgJVTyx6yL6HWC1QKMnxxUZ3iXbREt46GS6zjly6sGVEdwErNF
1xBf1eqIgSY7m9PLmGq1hn0hxoAML294Jfj8YUC8i8a1J91Ujwm68pQz9tLjGBFdjwndA51Xe64g
GGKMPZBf0j/4iLM2shKPMbLJwPNQhnhcLukZd5jGhr4lNAIKMxcRMsc8orNTlUvLXig7zt/dsqpN
IOcEsgbp6LheTuCAkiQwD1DcYqETJHgoNZrg2jr3Kr9pZqXHLuN7MNTiFddRvvpcq/67t81/y0f6
Hys9YPNhg2NT+ve76ymc8uol/brDYt3588f+scU6+h+cUUHLsS/q8wntH8MJZ+aUCvw3qCOpgNR5
cPDn/ioMfkIiw2QXVXnhTfaGP4cTQvuDql1Cd6IVys/+Z/KDv4C6TSxKqkMJwfZKF/+TvP/1HMCE
L0NJ222zDm2sGWfFpjfLdFNFmAqq2tmFXgcWWCP/w2/fhSe9GfWm/2YzRMH882Zoz59DcIo1LdpB
sw7i581Qd3wl13Kvwx5RJ6jztbWhx2sU4bI9Brhqym0pr7w0vGhDxnojOVgL4XunCNQ651f93JbW
RS22E/jr8EJXs4MeDYUb2g08ksZe9tI6FAwKyPMB/mM212M7bgiyQKA4zxXV9g6W3HE0+9XgZYhY
AfbEdEJjby/Q+aGvxGdCBlTqXypRkS4iMz63oc4BQQexaMU5IuB27uV3AABVvwIfyIWWrT0BDcjD
x7ouzkxAGY6M28jXr3qnnhXyMbwG9jMC3x4DSSain0/qmobTIh8kL3SqrU10cKOges9hKurI8h6U
eCJGKrot5/G1P2zpm+8zYjEB5C1Uq7wFDvRkN4m1GIf4grNpuzD8znQHI7e3uhk+OHkKUWHay8F8
z4Nwa6vPsHbuCOgCmGKdKrO6kZ62EeBUCHdZ9vgrF4g2fVeSUjm2qEHG5BWnzVtY6pK0V1wCWSw/
hDN5u9oURNBMegr4mYTXwZoODcmhit3WS3boZNFrghgDeYt+ZFepN4gbaGnptKeM/rYc/Cs8c2vE
YxF3yyG7PhtXIWl9st+XkX6X2naJxo6c8/q2zIaPLrV3Q60+TaBWxgIed9AXj34frumAHESpmxxL
OYN5OXQS547HaxED9cKtCX7Swm7bdKtR7S58haTpYjp08CQqi3V6sNo7TWeupL3laXpRq92h7cjA
NvCA5QNxlFpj6qtKZG7sgVcfGiIyGldAGlyopCFYPJplIO/CVFUXnpq95bOjC6kymAMaHkJVVmnU
/FBnwYunkjhPegsZTytLm4MsaHum2tlIH6yqmi6juI8foJIe6ti49oau29jjHI8jYRMygmDyFB9A
Ni5lmW1xlT7K1ntHUnIap8vCvKuNdGJeolBbFeo17jxK5n7aASR7MLSsJwOUFncUgH4gnxuQoy+J
JYGzYYzXlV2cLNVBfhyAEzfG/GgAdWxbgt2R9l81GFhWfgRohinaAm2LuQwzM97awVXna/hsoBE5
uzrTM9ckYI3l4CoMKY1Ayz4UE9OxWL56EzHbPZyzWNGqU4khiDcHXVMo9dUIZa22w1cS49ZlfIVZ
kvGldp2mGCVyY4355Z4cpG2H+rtqcBpMk0SeDsxdSTY8GtZSBYi00/PWQHSCgsXr5EXeavtAWPD9
pzsYQeayRAsSciQCTEOUGt7wcYSlng6Xlqg3QgxuNtnWocv6FVO9H7IzrjSPyCDDF5fAa5mVNOZl
6Pi7IXaes7jcha35lseU7yVebxUhL1rgdI2mmT4vigk6+tE6t5DIaFV0Q/4XrW5PvfSptpFIXVV4
nFFycOcpBXxV2SFHOTFV75ckbeJKq7q1MSK/UKR5hSXtmooYrVVWnElT3nTEB4OsA0bJSvOKLWGJ
Kv0+xb4i+Q+gUGKqT5OqdMgPMJPurKm69LLmqR3TgkjQNgDEZN9P/Xhr9aTuDc5psJoDTgaIWNVZ
VZzLSS+fmsR8Fo0gfMc7qiOehzF+iEckqk3B70GzYFTyFcaI1QRj+mY0lBvH5vakWrkiV2fftASF
tjE596WRI461qmhr2f2uV22YPvpmqooPPUbw2kYvts+JgNi2XUYq0gllfLnIymJwtdJ+F8K6H8xh
Rkkbq7If17QOCOA0aMxAdUXZrWVbe3JeRCsG5P3YU51G3SSSdFYRKXeCYJOBDLMVb9gF5uyH0sle
RyROKwOJk6um9UsEZpXmJPi4pn/qHO8qI4BQ6e2j2jUXk1A7QuGtcVNX8Unk/m7yjffSh7uvVj74
nLA+0lXdYi05xV2/rkj/IQ+XfthYpUx48Ci4QeUT+jh4K2xkB169XUPM7Ko1lKuq6PAZBT6Hikg5
gcvIYC+Fb1VebID+3Kgoc7jN/jWHr01p8TxUNncyXlXSOrWOvssnY9/XBCRXe4nZLrZISsmpNwlO
2EvzqdXjOy+t6eFUmxiAm0XQYpmzCKm5t24Cb1NUclnkzxhgL1LHeugqbTckzrLBZ9vXzbbvCqbS
2VLDEuqittyp4UDKdYT3wbotPWC1jbEdYevlzcNIKFnfJ1uHJ91OtEcsGZc0DLfxBI7PcjZh48VL
s/a2kxJMEJWrs/SalyoGvxYYHKhk9QCwfGlC9ZYz/NYR2z5pj5p1HIjoIgg5BFdUXSuTfhoHVi5s
TsBleeUV07oyh+C9GA9+Z61yS70Mho+0g0ZnSmJ1J1g1+kfj5SQPttESq+aB+s0lfvYjFNlb4BuX
umwudFltw9g/c8CGNc6J2aycR3vWQLYfjamhbGLpZMZTm9WFWQ68hPkjr8h9OZp7K3nu7Pgp6rJn
uOm4iqJjq7aXAExdPTdZXrzgxBDsYdK666pmSAzdDQumOxbYgcz0OfVnboRivDoWIvRWbPNhPMHK
SjmG627kaNtUr90erlo7tY8BYSIJ4bQYYX5MVfYKwfwQKCcbgHU2CHxYyNtkUJxqib8nwT0Y2ZDG
bkW611kUgn5psCy30zJoUtdooHmB9ev10xTZu14kl6oTvnd2RzS0D+IaUT/O8Y0cyPJNykUQq6fc
twhYdNChG/F1BaWyn+QNdm438LtFmDZPwSkDOlHfRZyM9RL6Vh0Rx1pvtb7mJN+F91ZomQtlEivU
f24fXVnTMmutTTL0AO/rN4NkkCAka7HkBlbiaKSYMCXkZIccPSjIB2OIltKS99VQvTpl660aw0AW
0QX3Zok3Ch7I5A5zFhrS4WuUgporZ2kpXSwKm5w0trzT3Z5mQsyxlqy/fJEZ5lURyCdy434Ir32o
ibzliJ9C0K3uq7jY5j1ucMjMCN9dKbqND0BeTucOv1DLwhszpNTN9KYsMnxI9WbUzJXVIcHxT11v
Om6PKJaAp0Xg5a7TfyQBnoDwuimdfZ86VwCH8NPulXBELGi5w80wBeu8XsP5uCxJ/VwqohoAjwbs
H+FKUdublq1oORLIEfWbCfCFJR78Xr0JW5X1wN6EhG6E81Ga6O/QuJpie43S8Tio6XWnXWGFXBGs
jRfsWUHGOJQMY/OWDNTotUfMwsn0GBYV1pRy2A9OjSOjlB9Odh/wbo65v597x1GVbz2HgwThqmFz
DLXRXyT2GZvK2jaal5DmOTr+dml6Kqkq1A+tYj3EDbmJY3lfTv5qKpUdOmcHK1qI046NlhRRT+5L
+Epaeu7MlY/3v3fbOkb/SM4aBpo0vfNVS3E59Yd7h2MwFou5tKynveVl8amwZfpDMQNnlflTviPo
s6KGrJzmkVzF/B4zZbeARdDSN2nGjwxKwZUTqfapivUO8laOaSt21I1pRpwdJunRgWnJkbHNgWm8
qf4AiRBc23oqD2rpm0CwYpluIaTH9znU2RUNEudm6shYG5UmeE6phrdJWMz5ToqprZrCz/cRaKMW
J1+MwEXPeGGTcKfNGTyEsKvvXNL+YSXT9EquoLpNTSBXnhppt7ms9LVm+c2lHYzVXs2i9KAqVnXL
eY/6mMJsWHT4Sa7LNNbPtGwHV3Foqo9R0O9UrS4OeWcQ1KmQ8WdVPnvcpAxLb9RsEDaKQJfaJQ4x
P0V5ynL8dew15GuSHrpTnKI+iczy9knV1nuntTokGwpHr6HC7WkRpnNqDKIHMjGeclt01DOjSpoE
w5F7tVIJBgMUdIiYJK2B8PqXBuSCp0FH6hrpWXnHQYf3x6799NWOZPuoJLrZLyiNo0uja8wz3Mvg
BrLmeF33TnGh9fBMOyMaLqvcCbCk3nfoeEkqrDbO1Aw3Xq4Zd4phQO/KQmQEuIL69VDOtH58P9cV
+MKLPpxo/LFhPgdmaG3TvLUPGg7cV0zx2VWb4PLAE1tfJq0W7VKCBjhDOuBPfZAO+KfbtTbOyZDU
9QvcO2jOO6y1uic0jD9RunECYC/pfMAmwjsc8QV5oJCSXnM1kt8egEvAOmR5eo7MRFwUQ6uTmWtp
B2LnR9aUjGZtEl7lw/MQtG4UEhjdNcl4SbYmO2mRjt1tzZM5ogasx3STk4GwbMvpB9GV5Ev1dWsu
C687e4q8s5HVyjJ+mtmyhgmkOBeI/NuEZT/cKnI4lCFyWBJAVnSsXTJZfXAAEHsIHgcM9NgrJfSK
SHVxbdONZjMT0YtRxSsikt3Oj9cNoSMZlRsbg2EO+KZRXl7YvqFuMq96GER+FpmxC1X7IjFaEEOT
G0Q6n7jddPGFUKt7TWtAsin144TdcTH6IRVlKs+d0d15inZZjKj1CVaCeh/TqVV2dIov7dDvdgXp
B6CJBJiGDGFePInL0QZHIozEJfFj5ZQB2V19vSbMeU2AdbhohcGEsVlntSKWkI/bB7LC8dnVByeg
penYaz/JPoqsvvvSH/qbGQPW0Z+aHaDETBzTJNOjLjRsjab3z80O4gCpmEzZb2XywDE/PExDO1wO
PbINhaTUvSqz8mLI/ema9Ql5dCjNMxDm6LLySoy9tcy6RzvucEh+virx/NbgOHMuzPlNCuZ3Kp7f
LsLSyoP2+cbN714++fFtr2c0UHJezXZ+R8EuFKdxfm+T+Q32Pl9mKAH1njgZZe97vOvj/NYj/S44
1MFoTtOpPDHadDZ925P0TGAIFEIU38tMq7wrYOTY9ua1RZtXmWleb3yPlUdtyGMsjV4/E77CuqTV
1Od+EDS3apTXt2pepwz/ZbXHRtVcYp3T18680olZzODNqx8euemVQAP7hwJa6V3Mq2Q1NuEuQMLl
FGWwApfCYtrO66pCfu4q/VxsCWXpt2NsQ78uqDMKdXRujCh2VoEu4nuC6jgw9D3Ltwqi+VCOfXBt
OLn2w3MUUKyl4+pFxCb/uQnkbaxt+nlnqOc9wpt3i3zeN2jIjx/qvJdU865CPye/1+adRvncdPg2
850v2YnKeU+y592pnvcpz0qC3YChJJ/3sGDezTS2NQSV5MfYUz290SQ8kOwK5KIUWn3fk0/xCESx
KUhqSMTDaFo0tdJWjE+9M4DQGnUMCoVPAyrm2cTx0RFnkFLACcYaC33ILqw6IUMgAEYmChFcFB1P
HnY63JZk3kslcGrXqCzvxUjNNt/mzGc43OSNtq6x0RC523xekcFMijCWUHL2aeYuPEwZ1NY6z5Or
PIvki10KcUgjFomN7NEYMtYwqBTSRsmIWZFG/KqrxXWnYw5cArk1y3XgAYaoOC24LcMtGl6ptBdR
Y9FVM4th1ZXlTcBpc9srxlMFpxIUdMdJYqKunHh8x4SpmD8OK0fxzlFUnpMGepECEWhJpG0KYizD
0M+B/Z1DzINiq+ZJbx1nVRfGXRdSenaK0EE7dDErLDm4ACWSG7uXyhE/bLxio6+XnhqHZ0ttgoVs
6mg/CzRDLTqDqgkOUenE28yizCabaO/rWrPKOnSdazmgEaMtFy87XT6HDPy2thZ+jKMSu8lMYNfp
mDEIHI8V9Qf2cf46fsrAjazu0Ww1QCtoGciwGAwQ8LnYlEgDlzgu0gWQgY0d5K2bZL2Cq7401zRT
aauo2OZa9Zq6EJSOxItN9XFX5MN9LrB59ErBccxOgo3BXMte+G2cHwNgsRBt/XwDgBacp6JBLo5k
sSYoZYKR2tXrTvCu5TZ9Ta9G36H4o7Xwh/q5BzuBkSkm2G3Knk0toYIwi2qTWHazSR0dhQlpazxW
oLvLFKdOpdXhoimwzY/eVLpqQX+xiUyMxL6TUloUKsf5K7OE1+frVEzogKNFAJj7PvcgSjkjp1Zv
Pg/UTnfm58wdbJOEbZdR9l1ty+yQN6a3E4Wjwkscw1PuWW8aeTfnWCgTTwELigKngFPMR6TLc0C0
rwuyyoI/6hsXRU7QEJQZEAdO8FY71BRJVLO1l3WKTDcDAjOGr+MoHvvkSTWjExJNnghBknBmXU1a
LhgIZR+ynv4ve2e2YzdyZe1X8QM0C5yCwbg985jDyUFS3hAppcQpOM98+v9jVdldKrRtFND/RTf6
wkAZtlJZZ2Ds2Gutb91o7IHt63eA0DUZuZWBKXXLpSO8a2q73wBrxutgcvGgZojDqnBrqt5t8wXP
SsPt1fo2FqazFVXyImt9oOZUbQ0oA9yMId6h8EYXsutnskARu2S+X0hdA7IU4wAL6bs+EDbseFlU
h7jti2NkGxGQ9XD+nPjLJTN0ph0pKBiFYyOrGY5EP7/B1AZDoNxoDUPDWNNbad/LNinfURudY2h4
5jkaVHLUrdvcB4VsHzBm5g/UOY1fA54/Z8uu5AEQQ/vWL7NVtUxZzjJvEfJh8lpmMNto5ZEGKQOF
cZnOeOK6L/4ystXL8AYi9zeV4f9krH8XsvlNj8J2889lrOc6Lrv6J6PI7zIWf+x3Gcv+xcGog0fn
1yjNH5Us6xe0I0VUhvMZG+IfevpQsoRY5CoIrcDwnAUp+ncly/4F74NJNMeBgY/Y9ZecIiAdf5qq
qBD0CM/SF4g6hreN4oufp6oyTw1jcq0OgLo7sWjkIs7O7pD1GLUtNX72PablHvwUMMiUqrai/T7a
9icc+58zqc1bUIGLEtXw0U48BNI2WxYhXrcxDMtYjS0odUinzVn2IfMT9U6buUdTn6vk0SuNFKWk
jw7MkjxKw/JOlikRvniKGI3FZxAZ1c7Dx1xwpaML6oH7QrrRIbyVXCWQ4lPjww2dO4BbNrY5o3qL
ioqFE3rSgScxSU3hBPytYf8WI48Z8OpqDKYRQf9Mkn8MH1Ax1AaPg7E1Ky7elpPklxKA5LnF2HAq
AUpfojyQGM+li8/f1NNroNhtxen7ENUo1a3WCOJLlI76lC13HxwfBXHgqGNNmNhud8umhKh96l5K
3AlHOyXsMwcTBRGVokC2suIWwj14MfQbYXU/rE7dNVPoba3akY+u55prVUbbqGrS/dSIbJ0bFQ0Q
CRVGxtgEXx1WqAePseMUNXYJEKGysU8reSTeX55MHXpfW296q0cVrWGNE0UZenK6SvNPuVN+7Txl
XAMPrJ4auILFlNnSnyfc6ww1Bn5C8T2x2mHPJVje12aidgMVh6suseh5NwufVal0t2lEx8Sgqpqt
w2jffKYvCBAxFLaxolC4Sz87xfQZn3q0HjhTVs1yWmeNeXGX87ss4L3My5kOeO9HnPvpQRbqTS3n
vtfzf5+5tkW7waJylialE+gKPgBgTw5mWUfnWOpnBIlnucwV/jJhEKslMBLUTHLSZuIE/g3bjZmE
8lufMZE5ZU6Vs6U2gHwQQ4x0qGaQ7KKvXVJ94vOqvo/LzAMPMGNzjeU5Wyaivmy4DgbPEaOSV4De
MBmekmWK6pd5CuHGBfVEw1g+moekbW7WMn2lyxwGz2NhlhftqxnC78JkioVWPS8I8dzhusmNh+tp
5IKW6lkrgdYHNzKOzSLWOnZV7+H4u8c8QA9iUqvLB9cby60lDGMTEWuntczWFCUjcGWxVe48PoP3
Ydv0pyB04wMlVRM9NBGPM9XsCY1fOzMJwCHp2jmDhktuTeL6e6ZaLBOiebXChroIlbGiQm4/0IMD
tsP1Xjhu7X0a99mrJoW65q3qt4OYevbYSbtU/hi4XIty4ezY1SVum/A0T4NXrYIe/XplidredAFd
kmWNN4uxl20k9y/Sx+Mji0C1KTEBIQJ3UHEa7+RhALinGhlGeyDo31FD/DhYmlG9pLrZTOZs0Zjn
b8BiOKRnBuVBFkizCVbscrYeAyJFtOjE4TIFFdBHEDzMJmBn7YXRJm2X0kevZNVvRyLXQMio1JsM
kvpqoFpkapT30oWdPFT+FHwCiBJwtZf0A/Vmso9dGR0TWVHhKUX8ouKSPW5RYeGCJWnfNHCpO5XV
1KAqnXyihPiTSevGrvAm+OhhfigxjhNTsL/3pdXf4sEbNgTjG2htPU0G8VjMJP4NFv4oU9yOhu89
eeF7CSTkpCbuwNydWD8EJesGqdOdNYeffFeXd0btnwMjs+kCpjIYLVLRG77OJqdY4FfnsQ9svrmx
k2yyBUxHEbQ8uzpLHoY5KC8BseH7CFTUujC7S+fF/Z4MevUpx8W1QpdD+qlwfrM6Ixse0z+ZNQTS
+4Smp17xa+hhmm9BND+OAkah7cMKKqYhPpZJ98g5xKayCKod8bnwK7eg+WBp4zkEJL2dHRAFhZ23
90XqU67qzzE+c0zWuR1fMN6lECrd4lEkgO6zGHmeWKOxxhax3Mz8YDPNlD7y2SVmaAiD6JBBpXJA
hcXerGknHg2C9EZWScxA1IL20uEpHIvvGCLzjfK4OOGvfcxq71ts+wTzE5QTpFtUbXLsW3pVB4jc
zQxwmu7PLEjdTZEHr6ZbcCouv4MNKnIbxoNaF62yP4F3EGuNu34L1Uxd0zSyqd/shbvYocLhqxF2
GUzIfKifbTqsBGywbOh4+lrcqCNrSwLtvid+iwsudQxaTKIB03jU7VBHjJUwEsh21iI1e2TdQa5s
KxsPhpqjV8qu9sIY9MbjTMhpXFdfUHnh9qnyoxj5QHmNfu6rVNLhRElHrs27uaf5UBEP5LRLKLeq
bdabhlrXyzsNXCzYOdBGsWfz6CGl8oES/JW5+K2n/5EXdXbYwGJ1IApBxAorTHwiLPMQR1V99WkD
XEHZeaTlyFlPrCCArPX2BmeDu+I2kNMcKJ1D06f1c+iE7WZuQtoV2zajGaR4Nw2eQl5GLsOm8acV
X6ccMcsVHyiOYh20VHLEjvj4dYD7v3H334y7JHfhi5PatjEm0yQHredfTb6X94/3NPqjf+u//AG/
zcC++QsjLF9waqF+xTATCPtH1Fw4eJWXUAX/sESGfzdzOfIXsqA+9/PfDNGLA+z3EZiq6oUlhH/B
oVAbz7H8K0lzMu0/jcBQtVxyDSb/+Xn0dTU5KyttIYgNMtt1/PK4fMshVCTRMnDijsrnszRyf99h
6jqZrZCnwvYpSeq9NrkbSkqDAMhQ07qRo65fQbx3d43yp1d4DvTJ5pgMSpTsjKalGBjsLUO9e4Rm
C+pRJhk3X0fOoFJXZRga9brsIUc3jsm3qkkqSLmoh0Z57LnaXhtbOCc9WsN7H0z51zIi+LGtKY3Z
F1kOpnkWLCzWum+4ng8TyPh6Yh+xIuQ1TvvJbDHV2Fr3FU5Jgx4+RFgXCbe0kuqU+F78OLLhA+A/
19WzkF321PkSwmPaQXsc6d77Yk9phg/Ymqi67W2aYetk1npnT3h2Vo6IzC8AQFN6gx2DLhTFzHMb
85gNmkic/lsijPGkAJucLFiON2GInH1ebD/ZIuk+mUEtHig9zW6kO/Cwtq46cJTN+94c8y37dxlc
enbD6HQC7TlEQ7W9wfB3fVczAQAkjL4p+lKjg0H1N5Kc7fXgTdJhPpeG5/wA/Dc+ITTN32PSuhhA
w7L6Mtupe6+6CSR31CQBySY3CV+kq0kOdl3WPkRsQO4g8TCYg6tkk9eFU79PdYyXGkbu8CItz3il
JAWDFnOH+eJ3FlOW8vB3bGNDmw++B7A/sYZqX89+tbbgoLEtMMPmgac08M8CjVNuszJQZ8j97SWh
drwCxFHnB5nAqTy6LFHrVWrl7VvmptTSChfCZZgF47Mg7MhK220D2IWt4a8lCtuVuYrRmMFK602r
XGa1KmnUPaKLrnCgJTkF5Kp3GaAMXcTXYZYjQBGalN0tmrvh7DJ3lt9z3N80MBJ9C9bg/sp5y6WC
I9JQGQ2vrajLt9nV0Wdz2WlRaTPm95kYRb/iWwM7zxt0NmDekbRq8cJS/BFjOuD16zt+T4e/aITp
P0U3YXFG8Op74eescYIfcVLK6UQsFTdW4LUHVp+d9a3UPX3lUe1Z/d7JgpmP1EhAHPXNiYqHXtvW
hZqfPKA3QvvHaBiab3itxq1Rl12+MeOM/97YjXGxjJj1c9916s0t5jl5aCPqN1buGAhq4qbspWpD
92MSc/xlDNGhYRYElHhQTLWkhQoqrkyDvNLiATuWkcTnHSUeuaXY4Kzd2HmlYaQXaWutexV2u0mZ
CF6kTv3vqq89e5NCb8bRowWsmrGVj2YXNCCleizJGrDQk6FV81XVovmU0OF8h7w370TXgGrIopF9
bgmJ+xEfTPMJ6Y4iODEU53m2qh3mddOjxS1Z7m89lMvMVvSFUBzusqjONa8F7dAL6agvsZc06Tm3
UkLEXuLhp0wCtzjmUBAZCwOqgwSfSkorscYj0olerPpEeluvKfpviuxDRa8lavGaO2971amebgBl
In9X0CYeYKeYxv1i6oH2os0j13kIHTZv45dapfMH/mtutnZr0nnGOvva4ZC8KixWEcOlK29DVsZP
fW+wjta9Zx3NwZsPLje5W+wP/X2DqXyBkOcGl4cu/1wUkdz2JO92TRAEz23HI4dLbjjvcABSmCdU
icrfmviTZuhDb4D0i3vIYIIrIYjhRAG95joyf3SMx/56iqLC2oPEdOjy6Cfe+y4tIwZBbPpfWGym
XySde8zfDj7HtRhlveIZ3r7w7gC6MqfQuqc3j224Zkg+GWLE/U7niaP2hZ8UTKNGl3L/cAbI/6CM
vjIzes+tC1pqVZkdGkM4VMkbTr3yM/sUDItVVcOptDu3FTvXW6KORZoQAmllTYce7sTytUmsJL3Z
fpG1vCUOD53QdKuNQ5WKfY6Sid7hnpd/4Ru1hHG8Es7YwdY4/ZH7p8a5L4lrXLGNAaIY6BhIcZza
6q6upP46RmH0IwKHvikbM36GUg8lRWmH44Yrh79PKISN1jos5BYBnGYq6CrxweWuEG6MAs+D21eU
VzpToE/d0OPUg7yYAeEu2uKOmyRKCxdNGgJ86o+HEn72xmALsO9BgB4tqsiZ0ztNQjCzxIhdzUku
Tm1BDLeL1uHu70T7HvkafHuInNwU5apu+pmMQVluuyzLEV8ql4xQ5WUJml+ab+l6Ow/jAt5OdMef
KvgNH8tCNp8c7Q8nwLkmDOKpBUXWpCYKfDGYoPSxgJ742ojiU5ZO+AwhnR2k5+/bRiNYTyAi6atX
59bLmB9wWbCMz5U+Rc5i8LASGL5AfgJhrnjs5DyHKJitrZvjj4+2VaiVb/bzh+Y04KCO22eda/+M
7DWupww3jAtE85YHXf/D5fDZMyU7C57mXZKH3Myd0od5cMKD3TbNizMK5+CnMEhWkWYzRXsEHruY
Usg13mP10EEMwVo5dON6ln55smjc23pT3GFBsbg/OzFszs0QJ1SrOFV7ycPChIcTpFcteJAvxtOq
xHyNo2SNRGtwIYCrma6j3rCg1U4Q4+a4ShcgbnGzE1efRj5qFN60yXlWsXumYBJPIjvV5jP6itrA
pfe/eVNgk+PM3erezbR/48IqWZ+0ObeyMghWNvjsDzRNewNeI3+sEkzOlZ5jd5uloXswRVu+mLkZ
I6zy9hdI1p8z2t1AtNnp3FBYGZorC4D8XZ4qSGpxK8xtDQt/7dVt+dbWSqxn6EDPld0038bQKh+8
1huveZ1MPvuqBMFBNHLr0NmAy//XElVdOi0zly3f8G0n0xri+PjiubELiHfIwu9BVEX3WWA4l6Qr
ZQZglm/hagD+xgFadN2X3p3kVvaVTwucgxGkMoPwi8TNUtFk3o9vhhcZb2mH7oOOl4zc8hJvH/ml
xETrOSc1DukPft/6QYbN9BWkF7mpuZxggo9xDbK3r/32WU0DEe2kGUSycShIp/pSTNOjH9b+TuLa
f4V+v4Dr8+xd2R6jRtmkA3HWJhhgTNdg7NcYwsM9bxV0fhrJeTrATX6Ma4edTlEupcntrHlSge9t
9bbsojo+ycToin3X1nVwLOvWDDe+Gj2901Zk3TVl6X5a8okEERoTcjXLJPDLY+2HRIlslheUKs8Z
BpCxaenPUzVbKro5nHVnV1iXgmmovwwgZJNNHUcQWiGWBtfYs3GeC2J2Rz4hCpS3HbfvYSQ51AYq
XW5pTwEE7pbO5T6aJd3BHjP96tIFcYNSTT1YzX3olkwuTASrh55P5uIcN8K/t8bO/B5joAV3SCmT
veXcpWtT2thbVinR/yfU0zjasrPmWzfUTZSzCJhRayyDK8yDL7I+2A3c/Q9S20WxSVPAeRxvuU/w
j6Oiv9pxg+WQdyEM16Mq5N6zWv+mtV3C3IZ6Na8K6PA/ksxQYpMrw3pRwpjeY98wP3wwjx2mupmT
PK3rdikXTrhXV11FkEMnSYlDrQWI4+rwhx1Sf9KSzFxPqrQorI+bOQMfEmM9LurHzs+bTS1rHlHw
3bzdxNSWYHJkzYO1A6Kk2aV0NHpN8K6Gyr6ZOSPGlqlXGes6U0Jvx9IbF2eDNn4gKc/MaF19VDP/
4qu5r4qdEeTjtpYOXxOXcxlX5thZ2wqwwrujqtJ+SPpQb7Gd40Au7fGhMDVYkLwsBrTYEmjlik+V
DTexih4CnbpHJ/UxbeBnq1eT12DM0L0N7aV2ltWe5EfCT45xxa7Yppev5SB9qp9VoH8UGq917eiJ
vARQ8o0OKiSLxJg3YAN5k+vROLROvaBFnRKkIloRjjtQlpsQu9u2m9msBWWcipUww/I90kZ9TscZ
78FozTPoPEv9mFwZTHuWcXK8WklsPPdGz0/xowbRVfopVzLunPa+dbrgVPCZ/jZptVTRovbfOLnx
zjl4D86It/mxbM20XGF4cPam0eC8q9hESs6QbVjb1ZZa2pREWyLno5tA4WZR2W1VYQDghGVx5Zd2
T/AlSNjHLbV4qcp3KVtAgy8NHS9yCEA+qr6iKRK77GZM0g7RhTppOIu6IEJXYU3KKzN+lCYlqlaJ
N2sFxUOczcxmnBJpsLW94CtzqtqbfCe3Rdc2W5Zq4Rv9cu3XCWMPEm5sBZtwstO3sCnkYzhbzUhr
QJac0DP1fjaybD2Be39GR3mYotb6YkFKexRxvbBKRjKagSfGk1/1w8EtdXimySTldfdilqUIzutR
xmJfpCZQznqmCrWIC3gzNJU4u8g0WQRL1yWIRD0w02wam18Fj5hDzFiKB2ZMmivJCiwBPevRru5Z
B9tGnLSbEC71EbsVQzSdKsVzETLxMsJ5Dx7Wgid3LpwjooTxUDTsAQevoDEnTGCYVUbJBownr32E
UwDOgW6EZ756AXYjG3K1H3Qlj8eQjoim6xV1QrmZ3QHCjE5OEHkPPXEV/Cu+jwrieGZ6FYbTHSLK
c+5ieya6GBCRva91FU4bYWaIAWYnj3BFJxwXXdI+TbaOXzrd9Q/KCMU3vrvWgxXV6nsFG22HayIg
7GBPLAaNwbU+kV9iqrfS5AhPPmHBaLLWR9tw11nL8yruOjAjnZ8hYeddtOnyLAO+V+HbxfODaQCs
W0CRxdnQ/Mumkh9C9W9eMbKGBeY47XSfao66iL+t0jvQdfxMNLQnWkX955Y2N3I9XUlfEiQMjwwL
oVTMRuO1QJcn6srkIuCqRvmzlVk0ULt98lC49g/JZZBq8yptms3YGS0wuFG+Lsfntk9TP7/p0R1e
PQ5l3su5KvwdIZ72I3XHaf0fXM51GeSOPjiTYKKhQmbcsFnFFExvgbifOVK6jUayan5ju/x3rxr/
B3EVEL/JkSxgwH+umV+/hxHk6enPqvnvf/AfqjnZflaRwlogle5/8hV8BUQBbdyzlC9//1/+nv/0
fgGQuCCUJMtGCartHytDW/wCKlpYCo0bEQBi/F9ZGZIG/GlluKjmpgszE9gBbB4lFwzmH0EwyAAt
Jzsw2VrVLtN3lXJm+Vg16OFhJfQxplqfmCLH8sgtr3tyrckPt95gJTOdp4HzUlGVwrXb89INcxRL
pyymG3ItBuof9izDnBfVSOcaDIN5nxmGaB8cQUfzWo5UV66A5yQgfovCT/fm5FflxaTK64jRnuiY
CKNw6wdt+NzQPGmuevwza0JooO+trjr7new+l+4Ihy3xFbVtmitS7t/MuQaN4rD0mgpsJWnJ1zZt
+ppC8Koc1giYGew1NwwvJkuldlXjQ72IqCk1xRa4TptO+3t31tlBspe7r+zYPgTCHyFazc4BAy86
m4srMDemMSRQMXmPQ+SoZ79Q/h4G/4DtXKt1MrGiY+1rbrloltQ4qBxWood84trla1/4Q4c5mX0l
IaXiZimjZEgv42mhefmOebHtIEa3zIf+kc5Ob+JWii56qWBIDzyreoJC46Axyau8IujYWAFlNKGB
2IQnHxfPLrQmHt9clwzrcbaEmu6pFPfyR8s1EWpnswrqQwpBIcA/6VvzsTNbLznRmaIY6ID/9mCc
PTGjmkT6M/upSjz6WU0AzJohrSPD2m66JmWVTitnbnrQyF7T72VrRh9mUYYSanKm9nndWa8iYADe
hGYY4r9tfijyHB1Pzgc79+0LJT80HjjUJxij33+WXj3iYwsehhFIslcNLZP8mKmrUw8bdnzxoxWn
5s4zdbYqdJAwYgmTjhHulx9O1tOTg8Mp3sekGayNLswKvGrpsw1OAiJq2NOnTRa3/pO2jOkyBDHd
oiN13NBr9VPLtXjTOYr1AKIubAanOAEOzzbUHYXAvv1TV09qi0g3Pwd5bO0YBsXJQxRnhwY8IbdI
wvndmjaS5mlyEyjultfcG6HF6MyVhBPbIaHkUjtCwoKtDxAP9rvhvkDqutAi6m/4WfVmQsK91JVL
DsNK3PiZT2t3xgVGx7lpI0SuJhUnxylMWcEU7Bcy5q+VpoXxyEI3vVc+qe2W9zYgUwzFma6bEVfI
NIyjuZqNYdjUNa3xWSZfxzjOHqup2JNn0dtKEa3MaFn/ELYxbGtflk9ZFzZ7GXUJr3sy7T0KAL9I
hYiPY7gDaTl95x7ILFJOdoatLmgPqQHuwqulkX4ujcF7GgqMgWvKRORbObWY2szMc4+D7o0d3V7w
p2y0Sc+wu63gdrkzq7oiwyIHInJCrzOLJLiG9YZ5MNQHrYwTOzePJ0w2XgG6dJ8Ds0HmbEL9ECqn
OjXsek8IA4pwTIWJlXLa9v/Pgfe/k4jgSNL5//xY3Lx/1O9/e88//nb3Hr7Xfzu89991/EeB7Vdn
2a8/5bczUjq/cED6prXoVwh3f6j/xiP2K+wXt5nrL53e/5DVbKQ4B4Az1ifBMboIbr+ravwv5kKU
MsEW+VwFACv8BX7znxFEkBY8yRGsMAtAHTb/ZNZPwA2NoOuC7QAICBVlT6/dDu86SBF3/4fX6b9I
Blh/Ooz5d8e4ZtFtIIEdgXn4098VZgbbWSKRW6wsu172tymrDiAndzlb+1lVXzI4v+3wSTk7Q873
YTabjJWfNaq2HY/nUWOYQVn+N78Vr+TPUKTlt3LsZUzgH1A4fx4RuB3SqZdVwbaMpm1L0ll7Q7se
bLmzwno7w5aWRsYOytv57HRV2G+mgPQd6tRetGsOu8d//QvZv77mP2GaTOHbDtMTQixoqD+jk6gn
LemkCBEZ5y7as587hrlwb5TnBvdjFJmrUhj6HsGlq1ejN5/ighAe9d+sS9PePc5R/mbUuXhEeddn
p/ODs+vi7ZD5jvBNjV9jeJPjN43Hrwfc5hX51SPImA4rzidC14L7bohAZmydhlBxpFjIxORo501F
Nie3QeXDjlYlLnw33yTavaoUJH0UnzzjNtjFbabkyw7djVvR4+lPS4BvM3SKjA2tYF6w72h/bjz7
EHNxq+rPU2YcjYjurf6rkZ89dsms8p1TyeFuu4dUvfZd/6lnx7+qp4Ys9yiPbgvpsDuC0OESSJ9W
3W6yhoLvNqQp8hTL5E7j7GAftfbFtM0IcwmuFCk8G5YKCwjjKevzE+L1bqQkgM5S4olZu6sSf9oZ
AxgDW6JdYt0jfc/t5NpH3q5xfoxy2GATX2s94IYDJVUhAYtPXKZPSSbooUuPFn3w3OOw7jChtNzT
RXGom2Ed6oaXh79GuZuyGm5FLR55P0nKOYeOjfRqHvqNFOPKxs1vVV8jeY9UdclnqjBiJqcl5Gyq
U+nyzez9LYzWtRE/pYCRjPpuKuXOU9F7jz3Odb9WY/HGijSve1BTlIeF6r4J8CdODzGapQ9tKfPl
LsalHgZNd2fSPvBEXPktlJlxnTDwsFxJ7w1SITcurwW17Xy07DYguEnnxbfl2KGHquRFy/oyIVCZ
6+8ADaNHew7pFHNiPE2OWL40weKVodBJDu6TtDr7xaPkmPqgsPsC+qxYMYuExE0kEwlcsvCVIop8
rScnQOPKWXTbqUV3L60S2RMOF4JoLI82bT0bBLYGBG9+C298F2ALD6CFGT3Gqg+vUV/GF6dz7kXd
eI/13Mtba2fVbwTU/+5b4f/GQ3K5Av5LbNByNGrOyD8di7//ud+vjuIX28Y5DYlZ2rbHGfd3swlE
ocWK7WJx4bNHI9UfjkUPV7WgWhyw/6/YPhwqfz8XxS+U82HEZonsMUvaf+3qqPhJfzwXSMeA/vf5
7tqKqD9tWD+fC7Pf2PCIuf1NsUMJnnwHsav4MtbZXeROwSXWJA9zI3tBcQSOk3bGvoKQ8j66Ql4T
H8L42CC+CS9fReWAfRTHq5v7L6GbqY2uFW7ljq6+9ZQublu3f+xrsWghzMdD2emnhvYjsvB1DXfE
JWuPG7jxrlPDE8EX8TaSCQGTPnjsFr0wzwj2wB9b4ZB9GaPA39Vwc1cyExfi8qhQsaUJIZIFKmxS
Hr6ar5TpcWoMLRquntC6Cawj/A+7oemBCCf+Di0WXYwFsbOpcMSwMZWbLqzpAFXDI2RX7Mzqg3MS
vSS7MKJvp8a+xZk4FzWrWLsDh1HYP4QVjycjChYuAWDyvR3VTzGv7X0RZ0wBs1Hu2Qa+0Im38ozh
0gleTNWWKDIT/8qxk965ebuvDAwUZK+vDlI7RLsi28dj+w0j7HwXvDY8c1ZNpdUuqrqTa0X6jkTy
KyrKRlfdVrsA6zIXa4ef/2jpBMVKmOws2D6jvzQTJ88VseqoxI1ZSwAh1OKtqLBHHZ2TgzF1j4Yt
eoL4zfjSxbM4OjJDQ7GxR6TFdiohv9BbHZKrDaOnPKtvkdODQsPnGDau5g6APJXQxHQvHPB2kAzo
NKTwmA2qkez91g2wIPriaKt5enay4uakFdYPyyFCmmTR9GTqYOba3rTlvjWS8H70rvTWv4Cdg4Kc
ePnDUBv0m/b9FU35PgLhkKbep1BPdzphLY/cDpVtANNaN0cDNdXEgzqEQ30e4+0kppi3qrlDk/iR
5thvdImcqxw4paVG2Zyoy7G27tivTdbOqwrj0DoYZ2YQIK1Tb15SMTA0sPLl0rwrqmmBFgHheLV1
iR0/Ytc5esvfnRwr01jVujRfbNrl15zdwFwxFDQ7AE+QG2iw31esQWClv7s075zp4vyhEy7GFOzR
kU3kvXpwWp8cUbIpUmSBObK+9LXJn4mLeOt2yn9SXr6j0LHi505EfJ2sNu7nyBEPFgV6u1hZ0T53
fPGtdKvu3NZp3K6bSXgPunJKVrnNdE7c2udEqaK16nI6V1lv0UJfd0edBPpT4oQKSF/XxJfIRv6O
krA+TCTMnxvJfoKPKnUWhTl9mdKmWE/VUDxEntMfpcz1Gx5N+TS7XMnRMlIszbl3jrxCnSmM9Tjb
hmHXWtaSWp/HK4Hq7Hlu4/EZu053Sswye6E/uNlVPXz8VV2q+r3Fr72prKi/cwclrkq45YXpYHiE
t+LcCWvuTq1Zs51HRsc3X4y7kVn3vNQ2HetIsTOti+g7NEFOziab6o8ySzGVENVU17kb4mtS0vct
At2edUB1xbroe6wL/mjeBqev7iwy4JcsLaIXVgYKypGoL3xU5MWhHvzCrNCyIa5j4o6wqfcWNfB3
3A9CSBzt9JjQAJz/m2He+TUG85+zMyEcRVCHwgce3CwQuWf8/NROcbRBQZ/Dox+G+q5066I/Jk3f
3FH0Tm48MMdNaWHJmmyr21hDOm8GCNpbMRrh1m27F3w+xk477El6mSwRPvpYNiKM2cgsudHIjcMv
WB7oOIiLUDxQ55acW7QAyKPuKq7U/EB+BL9s4OvrFGreqIpe52As2MMpcaB0mRJeqxGraBLPrCki
XGxDdu91oZ9shqkLnssBUuJeiYm0WiPnisbRnB+MnybCF+/JctrncxR0cEsxzO3NbKm06nEHfTEw
atGW04fFVsxW/uLIyP/S2OEJdua8A+R866Sxp6UtX09gycqcWteqpTguNjVtHVl+MRyE+imzEA86
51aO7SUq66eglv66LExq6UZxMjTlqTMRhy3KFIsto5vXFHVRZRVB8prd/hzUxUXCA+ewnCDXNOFu
yGN7nbBc2lLAXNDD4YXfol4Mp7wf3J0RJgaUR4iuVM3hGVCW3skoTW7lDGa67MLsrpsHuVdBxkdp
lnyqZha/l6FcgKZd0lxiYahrJ6jQjszQvoSxV92BJzdvheWZD1EKsX2t4r49816Pl7z0MNWZrbpi
d+bzjpe7+ZAhjECMnk70nRrvfD3Wwbirl2/KtHxn/OXbYy/fo275Rmk06lMUjM5dauTjY1nFFdW8
Oedz1PR3JRmYTe7VzXuFjytcMfQ3u3T5Bqvlu2wu32pqNnOURr7pbMPDI2CkAfc3z4F4eSL8P/bO
a0ly5MzSTwQatLgNLTJSy7qBZWVVAg7hcMChHE+/XxTJJTk7szTez01bm3VVdGYEwv0X53zHLFi1
lU++wNjK63OAAiG+niHww8bjcj1XlusJ41/PmuB66vTX82e5nkTieiYxb7WPZewIxCEhR9bcd/Ub
ZLzhWJQwV1U/ZWcSZ3KcwGH8WVSuOavUwokUltF9XiccjAl/+kwBEn6FUZzv5yLswRCJ8J4/bd0N
LZG0DsiSrRDI64DnmStfKu3gj+oloUIh54RfO07IOVu5zCenHaoESDaQrsJ6DQO8M4faz+vxVkYF
mrygDarVgpNi2bgJLA74OUlanCRic/UGqBk9E2nfCrWiRIZ5aLJuzG5c2gYcCVqwqx76eBzg+Egm
iB1yGpAsmQXBLc5zk20SM7fY+5dg4b4OSGxkSH4VrStZNPu47b07j9jqCxlswcNsgWisEg/tbuE7
j3rpiBn36GvtfRsi2UG16BBnnWLvgtOlsHeNTHLZEFYILrpoyS2UTegNrpYL8BMRx+Y7OlxB6k0u
Hc4WBKsJj5jTOjed17uPZd/yvsj2gVX0sl6KAiiTNmrdu/Kg4Szviqh/6cebEL0PZgX7AvhdXXyk
FTRmVrqmRs0RFgCJY6Fc0z2ZZKUSYgvrRk0rQJuY4sbihyqTaWeK6cuRXruOO28dJ8a9T+12umWz
7a5D3f0U0U9obsnJMKHnvDEuYwKuAa9p/RVcWIalDQAB57EAArOZqxhw3JQecrYsYJ47ezu0foTI
aibBr0lr0pS9EwHsj02JrC4Ujndjcf9v7UV9kcdiXT8j8DpGeeQmT/dc5y+Lo8R34E+oRAZYA4Sc
L+cCGxALAYxZTmybTeG05htLLc/gkDXKA+XX2wVYewFf+c885n/7vH9jNPjbjpAh3v88DL18SkRg
3X/T5vHX/tbm+X/BM2bbXuwHKPhj//96CiDEkh4SwT4PfJcF3dU58PcNYfAXLK6RywnBWpERKL3h
39s87y8xK/SAV/Sugzsa0f9g/On+P2hWOwz438CvTSAaOUF8bQP/CREbtFoqyy6TQ9GJ+mAgFUHO
Tk7wLr2V6jM3WwfZ/FzGhdz7Y0UYUr7MLzWh5k/SEW9dlrQXq42hlqb1fI7caXzUo//gSBRd5UJq
iTNh7HPxuGPSxDWDQjp99d24vvQlPOQuTdb+EA/nqtSPFqxaJkJz/jOAg7oKxoKV2ljdFzEuXvz5
NTouHRKKQ/HKrUk7umwULloEZLQYrCZSpkhGXTizCNuCLYChLG8QnNkpRjiSUg+WxN5xAG4yP9HX
5e9Cqd8l7IgI8aTXdojSih/CBYuVuPZB+P5tQYwOMHNynyZyRjZEwOqN9CGB4Ljc+MMV5BJMmCGt
tH4kAb1lFBgcDGpHIA8sRToBmGnpQAGNrQCjlIt3WKOoL3vkXCtL9vxCemoRf3lQm7orciyBjoQy
dde5XPaaR6Rc0aOqR3sqfk2B9jeQB9O1l5NUgdwbGW+s7R+1Q0DfCo/+uCdxKuNUIwV8nOZ1703W
0zhE1QM7RmtfTUEqNwo++gOB3jGgo2zCMQ3vYLTXzjX9ghBB7jCOUkwS5Z8KVVyL1RRx465v/bpf
BczVcCtWDDArlWfWseNkPysCcItdil2BXOFZl8QBFylbSjI5k/PY6OGtJ823O+o21PkeuMJ4grDZ
AopMljbcjIHh5mAWgpGjYFXLEq32AXC13vwq5SwR7V/3zCs/aq8BcXUNR8hYpOX2Ec3eqm5J1VuT
54y6f5qWhJQOlEzvvQ67y9L3PhZUKFdizaKODjGDvbvpwV+AF61onlTXY2CU413ge9p5MGUfQ20r
tMUF6kdVtEVyQsGbdBTOjwXklPwQXVNN2ELZHm4WSu1lQ4ni3lrWJL8bJeozkrIs2/ZGdWrP3Qha
osB3fur/0M0mB3XeOpySBz1SqZd2yM0+sc2DNt/bfY3U2LuabiJqcu82tv33Skf3c4ElsBK2S+Xb
HfKeJjno7AsOFBTCXvM4Xttu5T8Rt7o1jm9uxbWNrWHBT0N7U2TpxiubY5hfQsaW1JsJd3+2rPuu
4SNzp2DT16Y+Znbp3QvjWb95nEkHZORPz+P2grjEOX6w7VbtmgkdAEfULqnxcvOrfnvLQw3aXMf8
HcdR77XlFg/ato8qzMVm6vD+ArL0GeEUIc0rfniy1J4SxQoztPR9zNZWG0wZ7dQxfwji7PBnTjB4
+XPNghq1e0TKc4WAuL2yjMOwxsJiLMj2daPXZlls/MuN9en76J7baD9LJH+LR9r2qKLsIGMirtvG
20Q+IThMlZBhpo5sLrYowh+JyZ7cqhYbBFDDfkorxVem2JU+0HzHi66ihDT6WvyFcsgxWyeeNet7
NtMeaKRcVulxDKInjr5LVoAZ8lrjnkoR7/o62JoC+5Fv3HCPR2Zfq3jYsxj6RQyCZndhfuPguPNy
RL4jItedr+NnC/DA76mPy59Iv7//6Xb6b1ZQ7p9tzr/2h+xUEKWwN4viK5r8X497qWbUfcJJDlZG
FF9eF+4KuwT+12xWwV0OEkWsWfwGahsgU7rYzSzes6JhxjCPmECgEQAUoJoO+daFDSPxwlVDss3m
sjM8lyKmjHFKhBnEvpnXppPO14iw3kfZOKEbYaiC3I3RGyBScIbwEGbVjafSydn05FBmu2PnBBwW
UqVnqsRx3AV/ThPokZws7Z9TBlRqdZ5rbKLHgexfl0KZ5UHedeRmD7Zv7fDhFo99YTGCqlo7OnYt
8EF06BmsR7xAbp/tgD8ON1WqdxMRLLtBCD7NYryx/Xw6BwDGgermZ6gMxbZwWRSUbpJv6hrLnStx
3410h8u1TSw4zm5IuAn2LZF3aND7gKZAaFzL6Z6O2z15Q9T/dmAnvVCuN9vWyyueVd3Wcq9LZ5j3
xdgkAxw4AXKWQZfYhHbR8XSzMKW/wfpWPgmjnemMpB+FdjHROwdoP+ck7NZsouoN6kVgjdfem4UD
kwzacdF0xRmnh38/+HJB8pNm8oNDAVdDG+HXaaZmEzUoafhA2+JuVEP8K+uDYStk8dBVjXsKbTJ/
G0TIzoVZYAkv9lpa9n8tM/t6IdoBXMg5p1W4k3Ft7SOwAICvRmvvIOS5T4mJXjVRln2lRNgZMkTb
gcQ6Ti/sgu4dOw3gRcxoN43j/PSJsz/Ys66ZzwagMdy6u6+YNaxE4O6ruoHm3pKFMukOBoU10o22
SCnmrt3SunZr1rWChgRms7lRffCeZ8u85Z17w/RBBkNJgEmTJSzi4pyYb+U810nfkFwyHzofM3BZ
qX0ye78ymwjAsLW+WvgaOYxQh6Sr/uRFxSZ3ihssXGddp28p6U0xMdbNOP3EMIwGI7m1x5Gp5kA4
/bwMvzBCObdl6/1G0YOtelD+xonsbhfPVnxonP4ziLU+5ddNlA7L/JdJkuk0hrF+qEG3HbWGIlAo
ESPhwL8yjvqLYpHVY+D9Gn2mvBYO8DW0iHhTO0IQj2p9LHmd7Yklc25lm1wAG5q1VxKYIpExbbzI
aXZer9J1O2AWH4MO8r4acK3D+U34sEsS7bd9zOizCneN0v1lUQ46lcWYfeQT2wgu4wmM5Izo0hFH
t3aZlTgmpPhwwttsjpyHMpD6PpDZ1ktGcbSutv+MGQNZhrhtTmjg3GnlWpX/W6cVrLLBUd9QieIV
13ez84cF+5gOcMnX7pVkFmSbwiuLfTvNRJNUA/SzOYgAoYWzcd+iP3i0sYOUJgLRA/r0ESxLURTf
+R+wWp3CXCyGrA9XgTtrtbc6EL9bWO011AHu6O56W5d/Lm715xIP/1zoXgQE9xD/uejHP5f+8qcA
UBny0NX8pzDw/xQJ4bVeYDj0tzS7/+22/l23xbUUs9L6/0oyTzmA6Py/7tX+8Tf/2nHF0V8Iv/Wp
9pCPIMm88or+6uKOr4s1+5rYh7TkD+HoH/2WG3MfJti+EUqyjPtHv+X8hQBGN2ERx5wBQaf/n/Rb
mGu5YP9xASOAQf+CyZxoKH5G3MDX//5P/ZZd21RilgG44fhLx6NtEw7nJKBCYVQGA9TbIA3fdGbs
aqO7UPRb3C64BKCpZM5Ga9dHXa7a8WmyUfKtogDTXV9Z9SWeh37nTHn/SKIMpFmnQQwZ1AuDEFOJ
Qz408swPVG+YS0+HKRnCCfZjPM03YWN3Z6CKUtwFw4DjMAk97qGKpKn83EWRdrdF3lSPTPcDs1pq
Y8w6iJZrvlxrS2yDUU6z2BQCE+XArhwWXlHEBzuRATxwwpofxyEg4sNYUblxZvmO/mVOCNF1hl/8
cgimYw4FWGfe8BzpkNLYtZDkXFuoFCeTIhoVndnU4PxDIB/44Uh7RDJ2sxMLoaobPafiVvR0Q3RY
9CibLFKLfXJL8opWKY7rclUQ1YlZi3m5ffAXnCfbtCPAe52EUzivRS6tHw2hvkyzKiNuMIkWn209
iBt2oL696pomEufZxVSwiSvD/Lj2IioYnCzQERvyjkimaIaPyi0nAiyGvvntsqP/zv2IzZTVK4gl
3O+XeWIYjDM5IZlk0HStuFjn8uBY7nRvLdb4gDiw/vLq3CJXq8jxmLBBsd516xswapQazd6nlbhn
H5fC/fchmK4WvIQYP7DoPDdeNRpAnHbfgX0NVbMm9sn5DpWdcBjDHv1gduylu8FiUwFieaErZhTl
rTnHCLEoopJp05DSsDk0xjtHyXHjdrq9V8ZS9/nIKtbrGxiNRWzftqgqrRVElXraVEGAjD6o1aet
+5nLsPAGlj8GxJOKyM5CVbqFB6nWONT1RouY/mMxpGP1Pm6bJnDMDib+zLme4rjNJJLhoNSvs2rE
m58USqNAZdwY21eYV9ovT04zz/cMdjUeR1ZzpZNMd4UTl9uqDGhmiPS9DA4X5cBr7aOKFEpi2ym4
NGExFES4YzQ/0rR0Ll2kgIrFEA2lZZeeINQ2B7fOk530QrlnpF6/do6v1k3svYQewicC7ZjwkjvQ
jufR5WuwSmAGryhvy8eEgI0j8FoyqgY7pp8Q+owO195A/DYvKpMsMIZhPnk9iVR5tIzrlsQxswpN
lwB88nn/SxcqicPu6sFzx3hjJOhjnnVvr9wCq29OTOV3PPn9w0DiLrD6wHlasml5vdYEB3CMBvRV
0UZok2clX6scog81jnotm55At5wZQ+QER4CdkNRKXruwU5JzNUTZexSe7Ufr1vpB1r7zyfQ5aNat
GyVPLqDxtcxpPtdFPQQCHKsBATkXXrGdPLPgPAndz2kperNSlvZfyJWB/DxCxuomSLZzVkR3jFvD
H0Vu6W1eByltHnpi3KVRejBKOEfW4dWvSKeJWTUtnv1VbwXmrogk+2JclerbJbfu9fogPHtLtHzn
0TRhSpns6mWhyH8w9XwfNQIr0Zz3dbeOAmfi97QIXatQHn6Ql5lb+8GfZbBJqiq9Rf40nAxnxGM6
i+w3Xky2VOE4mzdsR1W/0hzNBw/FDuNZL/W+IXMyOmfXznZVl274jOTbcWkOWWiCIsseuzqTnyEl
5W93HCTS3RgWnC3C0V2rRBLmQOd4E7gZ1nuczMtuVj1RHmwcVj6Lga0b24SAhjwDXWfaXea7bJyg
3XWnhd0AzLQKuAAU3mE5VCYGMSFNPtwTI4XDjyE8q8YwIIMj7l39mLlVuxeQdJrVKAb9BC1VbMPQ
a4+w0cKzF1bpY1b5/kfayfIk7SX9YU36iRXNzKRgQG8LRrd4YPlR1tj2SrEa9eKi+vMQIZO2BoAL
fbV7dBzj3YRljBunZbq1cpBh3ZXBnNwiY7Fdzgdr4I2o/OVhCnU2HTA89k8w4qvnfMwIHCnQIY9j
Fp2dOLcfPFlMJ+EnIcX2WJ9EOdSYHAE3b8tyTu5qaQzpoSzhyqKDRIKRFo8jDABhbXvdh3R+ohXB
egqZSvJVQG+V6+Yha4vs7PZjeDKs0D5n3SafYMeJ2EhsfubJ87pfTt8jhmuE+zw6IiYgUkZbivyY
zX2nvrI0mz5R/C3EKHkBO/jSKlt8N+PUHfAls74ThDLBHJDfcFNJs71WG8hJeg8JuUcF7gaY6SAk
NzfFVHroBK7vqPEAjEdTAPKLQvuY52P5AJ/PIgTBjmu1A0rLfRurpL1NAEZcKXzBNbZkGqdPy6sY
SeW1mz7mvWEAM6L/unPKIUd5Hvslc7A6kpdU+MVODsI8dEgZuNmJJ3+QTVQT/tMkmvFJwVSm1Fx1
cmRxwfMflrcoPUi0zuvmlAcaf7bvFe6vqCZKkLTyYbLXqeeJMyvaKdm57mi/hFElXrmzadEhUVL0
R0kz/pAAVM7QLuiu2FW/JMAx1g7ToitKuADVVrqDda5EuthHMWr5DOgae1QLH48obcv2z7k03luj
bEgqc9AdhcZHt8Ld2pxGpqbnvoncx9mO3ZOf5CUZXjZw5ThjidYs0/0iNW9IwqG7sqK+fwuStvnO
43F5syciCIEfyKPGU7UpyAd8TIhcv8GeBRofh2Z4nVbCz+mxrBPEmPmgZotOhRcBVfkWE2b51iRO
yMqV92yftnIAiKKT6iYxQ/yRLEwTZhG+2z6dpQlLQDCWz+Oc+UhvOuU/WzQ3xzyskWwmntLkv0c6
emHBSE6MYomzz4Oy+pCZPb26HJ3EMbudAlzuALXuFyA5ANDhI8xVfgpFMxyNsWJ4FW24T1NrJxib
EdZc4E9oxDT+MOBvCgSufriuvKj8iM11UpIPXnzoUpusRjPkLjoKe/ydBhqkNHFYHYXR1lYCGp6n
r1uQ+MBgtWTHWAZnfL/PSMC6/ZSMT040qrcOz8N+9DvMHNEYc2IVY2DvZ0szgWuqrHoSPCZv7Wyz
FE/H5SAma6y3SJAEEstknE8DTDSIvAMrh61Erfye6N78VMQ8C/wuAvnnVMGp4/pBskkQnAILSMoS
ExAiRTXsyWwBUz0EmmNbVR+iDSfexGREm+Nyfe7TghX4kg/lPXnLfFOTxjAUMJZ1HzbimSVqdJ8J
P30WdgGwjXGqd8SEjUSiaIjAUXZj/VYBAdbYLrxDUbEULFjA7jI799eVGL3nyT+mV2PEgshW0cpe
dG2jAbEnfzvVHWaeBDxMJPP6WDu2XDNAzu513CuCRp3bCBriLfYq7NWdPT2kbSNuyOh2dqUlrHzd
O9yxqyl10R9H7RRtxrQhqKlOiltnnlEXtfVUbi2dB/UB1kB/6Zipk4VJO/MKGuVqa+6bnGhyIy3k
LxSIrwjZwnjjzX722nLWcYOZ4FFFk4sFn4kV4ROtrGAQWXECyY3t8wszheR2MsTiZFFv0VhnJGpx
iM0QALuxfdehQwIBTqYbMk1SVgtyDF912AQPHHZsoevWzj/4Ats7z0ySEtrywFsnlXyKljm7qDLo
OFF7yMrJouKTyy/+nYQjW5d8yiJsPtSbRwm1APfpIq8Mc4QQwJ9rLEue9nR+qMEdSE5N41ibQZNE
ssqwNSGstms+pT7LPHZNmkAueI2Bu+4W3/q8gmqeJPg7UI7U7BtVy/oOJ/jwAb7TKNQkRl6GOFq3
8G8RSxFdYlbGH+27WIfVhy5nOrTcL4r6Tsvc9lZD21bBJsh921/BKU/njTPOTD5tsm+8w6wcciIa
HuVDOrrJW4ramxiuKAX1XbJq9tb1gF8MkYkPdBaFig2Tc3HetLb8bN+HdnyGlsBip3Az8dJYcW2Y
GXVIg/2i8b9150P3Vi1CqV1q9wzs7CiGV1dlPBx3vefTclQVqRVoApyFSw90PneVeeQ7QwgHAHRW
RvlCrcHpfwY8dOiGWp7n2PPfOJaCx7DhOhAFKCg5mv5pRuZVUk0tb9OSRdYqycWMOAV/2rrL7WpZ
cSSBHvnfhbTsRW/+/YiEyUFwDc/8nzfSz7/RHWef8vNfdtKh8/e/+bcRiQPozg2vJhRej10A4t6/
ge4izDpBxCwmYQH+V+PN34YkToJbh301MrrgOsCI/zEkcUgMv7p1rkNpVlNMSf6TIQmv+F+HJEHg
gRSII/wfPFvuNWLjn4YkoqRx8gqyhbTdP4as8g51P9NNMlzYJVY9/caowLWOrecwNLVZg7WDXY/S
8BAujAgSIkHs7Rj6UDgrZwoeNJYWfI2pPLLtgtJVlTOKtSy8eHEGpTxNKMFgt/7qQEXuoEcVES+p
+p9IzGx9KRiAMwS43uj4gPPXntSQS9t08HbxmYt01dHsnaN5iY9imnCiz1kA76Yo7Kv5YOpoEXza
kkBOX/gRu62R8Tkup/E9dEnRChpF4jFvh1g4TSP/wMEM88JaVLmuO787kqJVvIBgowmVXGsLhLwZ
CApJc5ZcyySr7/Aq+c0apY5CLAd94zKksZD7mRnUi+zs8YO42YURPFCFI4SW9PmqwILYhArTINoL
81tTdsxXkFKHzCdyT9wBjB5fMdEIYp07YZ9ne2FwPJlbxzjjQTh6+mrgWfygDmWYoSut7/qSuPAN
ZALCaioneE1tmDq951nPWAPtd6uR8LNCLxqPBGFPDyMriW3nZdmv2DBpWmfhfP3BKyIiSn72AQdj
0MTdoRnc5sauBPJxPmb5k8Dn4KhzG8HTyDKUHzJOopUNZW1fEihy59ZJSm0ZGbNhjEM1GFsEeGZB
CIoqZA8DCKk7+kjENxSRQJq1zTTaZZXIKvxxmIW1muDmoV5vgSDVVlCka4H8DkxLC//BRNOFB2oo
WFzGytqzS/W3lCAR+yfgD7OGnGI7I3cY7TjGKfGqCH3eLDNQW8diiGZZcHbqGOA0Ik6coSw3mBBN
3l2elPa2iovsEA61feYTJd7A0u2uXkr7R7ssyyn3SXJqaJIupuBB7Zop+tmXct7Z3qyPZeNyB8r4
uW2nNYbcBn3WkN/TOTFQo+x8UR4xgNkQ+5/CGcxZ2J2/RoVG+CxSeQZa+s221UedM81wIECs+JiQ
lo+YoeTQS3+LlEU81YS2deCgFfXUkOOOVTtIOEzeJDfIMMdYXgc1wNVj6oWb1S0jcD0ZWK6piy7a
qcNHJBKhPNj9XJyqnHhWHdmUk33RlJsGZFm85w8JDDYziLQVlCDz5LZ2e0BGF9zavH0sTnukHkhd
xJHoCWWt6ib0X3GJ+7dBHXsHp2uvCbl1A2wvIvbPHnHOdVNN0WvmVP/EWoxaYBji5DmSjiITgapv
lYV2B3UnCM09mycyYvDKb3AV26j3lji7V8jnSH3oM/E4A7pgxGNgbYO4Gj+UKNStEP50MrYMbvEV
i462clx4JRbiGNWcx8RtI4IrW6DZqQrGZ2BD7stQR9MhxMnzM6lE/Wx6t+kOblj4P3m+xXcejp6H
28FpY2T6bv7psEmt2ILGsLnTPIruCr+V5NzWbsD6svbaXdkU7X7K2h7/b5DmezWU8o51qPc81ihh
0y5wn0owhjed1br8kCAe73NBpB1+r9bZ2lTw/n5AgHK3TIWDJyMLEc+T+Nbnqv4qeIT5VFPPfdWN
7m9Q7XjbFCTXAc2SOKOzjm+lrJHrY4G+4oe81D6HqXIOSYvgMnDG4oYxXUn6e8DUb9WBy3i2gnAi
rzOsoNsXTnQblX39EHeZ/ei7M3MghUo1JzZoil6yqoZ8NijTfU00eSTEAbuIbFXg+A9aZmvxqSCg
ke980bQ9jKGxA8zZlIh7p1ZvWcoDLAHVwvhbgnbreosxRkDV513TR5LeOcyxUz+ERU9aL1/cLbtU
se/4x8qZFvmkR88giRZIb0RyR6JPdinnOv4qvQRFLcnwO8eFiN12/XjOwto9REC8fpYL88hxRApU
yLTfM/2Kzjo1fIZuFt6kCdy1aiiGNWeRPDPiKABDgdLeRnX909FVQ9CcxejVl+EbPsFdGA9vRUhn
yVc/PzplCHXfzTcW5sdffiN+o5+JtlBezDqvHCSYDRHBFcZpYfntPhgC+OyOuKMjjUjrC60HB/3T
wSyZJPkjPZFvHYSrJpztLWsF826UZEqR4gV9cFMWKxsYsGrb4cNbZPW8AA3a1cGI9SFX75XNSKhS
vbMJO/GzsMapOrm+i25HJQMZChkyfcRNy7zrU398dMh1u6BHIIAGWett57pnQLs/hllB56uRqGga
Tj1DEaoNC9W4cW8cdGnxqsnJLFqFHV0/OP8GynU0FGcXNkK80goaCgLXtNqL3OZfh8av92x0T10J
amaNMaU1mwXMDkvZuDc1QvZJHcau+qxNVZ/CKhw+vEppwEm5wQJg+nEvc6dlAOpZ7WPb0+kiQAa0
1fn0BdE4D+ea8XW9Y2sNqMEwEV4Gy/td99lIBFM9ourxVQ/9ETBDRbDBIEYg1pp7QLi6melQNQaQ
pSrCL4lS6i4K++lOlDkTPRh7m2jiEkuSwdC9ExbexHf8WgwNswDnDhZVksPTpEdCgg51fk3T/FfC
4/6xBOGGsucS5CTYITgoPjkQ20cR0lGTnVN7+O8p9yW61hU7KfcBLsDyYWVQzjNG5id2ETQHFPGk
90w96+SkmxiqlcFPzWYFMhLVTeaQ1RMTQM+m2opYyqjupYlGecjCaotmCc8n6Nt7VaTZ63U/QDzA
FHx7dlS9T6OvdozPCY6MK1LSDlWPbBu2YwAVDtUUIFEJcI5keXnPHTDtSSwbb4EmLyeXguxVLGwW
Zg2wt3XJsfPaFrFRHfRcSFFws+CudNcMDxDoMMNcBUm/fLmQJA60Q3rjBUu6gxMykiDuBPsyD/ZL
X74wqqFlCQRG1IncCZxorg42kU37Fs+SgV9MasgwdVhGMP0EDY8iUKetayMS5CAmfWFCFRhaG1BF
D5bXeqemYS5QKhNg9k2bT3Qbaq19SopA14iAY2nvVA8Tz10AFhVdHD+Ei+XckKg27Wql04sExbIS
kAd3qpLs5yEAB8Jzb7NxOJMQ+E0KGyNMjK82zFyq/V8DQcn+EgCgcCm1bpOSRG0JsfPcL1m+J1tk
dcUpsLTonPG5h573Ynwk2rOYx93ksLzJckQWCYQiOw+LDRYLucKwCl0ewjGdr0p2zBpnUjq8+YO/
NN6IOlp+Iq2ftynY+52Pvu7GVqX3xvt9lRiGgyzXSokI0Q2ZzkEGCkQKP8fQFEUPauQuBy9F5FCb
lncI5TGvgfl6gCcQMz+R5c2YWyVCQSYE93xDE2xVKu9u6EPqB5m5we/FBtQCYljeebPr3AaDGwLy
qILfSZ4mlxBfFFjrXDx56IAQ94TA9YpWCvwidX/h2KyO7VJOG91GX9kwJodIFtUm84vhtved+MP3
IalJdobsabnoqYu8Ql0Uljoqf+GJY1NnWiPKUYbTA6It6hNJInczHJIuCgH9R+YRJRG6frJKTo2I
UnyTCf7rGYnU5Gl5N6NFbeBH39sp+NbJjtuDF8HmM6W39zpqcJMVLfaB0NnWHTQYkzvNbRcRKLlS
aYYX23O2EsHwZkhCQfJAGbzZtDK8zTGEm4EDj/qxec+lCH6w2yhPDm4P1IPav4mdHkbNkgH5INEm
yx9YHVhMIUICy9Qyf6UsepCtc++lscv/2ehxpyPu8Rl54rmJ2pewHwl1sFKqTGL8NgMFUddl5GaX
e3Q26ujUmELHZrznRgVQ4lHybmxsjKvStjY29GE2gimmTjV9CZinzyUmkVPRTYbHehyPHuilUzQP
1dYFdrqZ6zI9TOSjJPZ15dFWxTGqfk2jnfzKYuUdi4aXooS1V/ZUgaqzcnMG0ovc7io53LkQ3Igb
nOwtPJ9mJ5eJt8+f/DsriEkNysvufhqYTuFLUz9tHphbEgGxULnI71EGE3nhkHCDHwnuXmR6Egls
cG6ZME9pKjT1QlF9so5c+FUUUR04lb5oxlwUgp2zAVFDZH3Sty+WtUzQHhdGu630nA8ZNdaPOkoG
YIe2OgSzQfcrkkol62WuaXpApN53SJAJu2eDGpdk841JUu5iZUi2gBIaLnRyo1grzecVIO58N3Ke
eLKmcN9cE/lgs148hokh0qmoQWoTDiGyQxF/JxT8WBxuZpnw+hhM5lEyqMYOQXlqn8oQU0Md1b8R
4xygzj/HQ8zLOKO4F1yJyKekOeg4ynbG70gQ9Zr+WPJbfrR2M36iZuy2CfawV4sx4k1jmvTLoma6
yqUkfMAuSBDIZv42Ae5zAWCnbsLerz8imHPURkFwbGxK2sGzSL3Dw2Jt8dEJ+5AsARAr6VjzTSsl
Rzwqs2TvkrjKgqRpmRrP8NPSroi/bJJIroF2LFNMlUY/khBW+4r40/JVUSJtVWKS235aqveWIL+9
QUN0wGQ9f4aMa7k7SuncV8N1FIeW7iGzLASLwTI/WFpPekXU8LgG9eWSJgPWcGFS8ZjUuBMzk4p9
2E3qHVS14IjX0PeMD8m2nLoLazoboDIRedsB6cLGZej70AcssahYxu43LtXx2ZIg21cI6jUoHMh0
02BIVC6NG39U2mv3SDO+RSmR6+d5CgEIGwxkZcdeI5UVrxwczOFsDQFPWcFwmaPFPXUEq+wsY+p3
rMZUrsw67yVf91UOYfE27cbgtvo/zF1Zc9o6FP4rTB76BmN5Z3qTmQJp9oYm6fbEKODBK95Z/Ovv
Jy8UE0NoxTTxWwIcSceSzv6dCCndSCzIVgPfhMcVudhiPHS0JLiHcm0HPWnqry4jW8RVE0KIPkyR
WIXScFNxke/r6RcOyaJHO4AOi1IoBBAB9C0PurBibsUpmfZDF11XVSCBIW1Z0/qr2Jl+l23dukAA
XtKRjzq3rxYzFb2y4kV27UE9uw7DbPFznknI9YcW+jUVF5AmmS1998QlWkPPif081VLIotEi+6Jk
CqppnECY3qL1ALmbxXPUHRDATSm2q1wJwXwZ9rIQDZPQO1ZV6FxumwGQxCSBokugE8J5kC1/IIam
wddid2M4HpBghrqjrp+ia29MgLGrw9oNR+3s80pzgjvI8eCXuRwB+EsLlfMskGEY6KjTW+mif4+U
Ix0hMkeDoxwIFySdK4NFW/TQV34FFctmSeE9lLPPf6J1FErpBdu8H8lL8SKKSaah8NFRf2VkhD4y
yKjuJYAfu2k7CrROy9bQ2SSVw3MNGNdDO1aneLU6DRbwgDDEqgxOq8/CCjY41kH6InAO5/AxqyMd
t6uzaDtoUMV8DwR1r5ck6ZJB1Ha9b5IrhNc+ooLzcwBwqM9tGfbFEjEdVJE5qmr1tHaISgCJBIDV
sBDJw6qh3rbV5aM1st07S1YwWXEJkLeljNL0f+v/Zbl4Yx82IqRZEp/9V+bmDWhCa3+c507Zr6kR
rR4MoMIl+z8FJRCeGj4jNPStWfLkvyBx0Jf2E2oZBzmLc4RDGRBDNV9xPq98SfvIuBTu6HRinJ6I
egdd96SuoAJwiT1wFKP6c1p+rGkdQhQZVhmB8xcPXMIYb4Ojuxixf40Vv/cxtLaAMXD0E/ae0DJ6
VnN9swroQ1iwRWGDBejioogKQevDRhZ0O2hEo8qazPzfb8gCOvGQkQ0cu8gaJ5sskLoiyscO4cEW
iQ0eoB4N7kggcaGSjT31baDjY0BMMsSSN3r/WzMvjsjV5PSEsMI63tVLHTSxJJqCBNCG1Wt6B+EQ
5ERK5SEodty/PwQ7maChhkGUuDeBiKJEEccAiUdNbCAdAA4IKi6Ed3oQRA3QCLx7Qe0gb5eFpJov
RFRnAi0a3VDLy+Ld7QWE1QjvgSCoaSWCLMo7doLaYXFCXBYM4xbPu2MCzHaxEFVbEuYPRCPCoYiD
Cizu2XgcwAQBri+RbQf2IMb5JqJx560gySrDA+YTDAyPSlJw6AsebAsGoYNYMMSn/l53AiAGSfFm
/n4niDj0iIlrqPEuXjXC1RtKEqtHwM0DN3d5J7y/nSCqKi8TCOkI0JEE5GDXVg/pKAuaAFDr4tY5
SCwe8KW1Jt03LXeSK9qWEW9o669+oVJBXxIoVctcf4D+WPsiS9IoSP/Ww89qZyxXfzc+rNThfJzy
5+UCXw5dG6taVfXPS8uIaDQGDmduApTT/EI9aOqfZhMTwKzDiE6M2NzU/5DFgQ35e0KnJ7XpbtwA
e+nHMfUqMowzADNgIAe7jZH1xbKPLLwCNKrIMLKFtspL9pJGq+0kGElhGSvclC2PjgEM38hpWZBg
cfEOcU09L219oF7wsXVDY9OzahyCXGUSlXeUGxrNYKk6W5lCuXbATRv71N0iLDOEQV7Ct9SJTTpZ
GEZQEctPqQY1v/pHYxrVQZvxjk7MVfMZKswI3unfTyxMv5pofopgNh7hZQ7TSTo2DRQG1IirEoGl
xjvrYTqz6XNFJ5810EmOMOsHatM4QUFfjXahpfNO+tFyHKt2YUmCzmQQL+En6lkuwK8naUUrv7YK
EcpL/FuSAFO74RIvlTVe+j+MOGn1DGQIurXZF1oQL/U7isscF1YS1fZ4qW3zUr9IbVCvuTbWhi03
bb82Y0ZXFY9wlUMqU4/OCrx0a+w/4+1exQwaNt7kP4wlQphtyruOT6ie2C2e0P2JqEe5KK3Mj+rq
AEgzwKIjSNgnlIik9R1UEj/C6f0j+HpO3eYVFGBO6vuxp3iJv9L8hpP8wHBNq9rtuQBfu6t5T8Bg
fd7Q5qlhiCPIwz4rQbfQ/KCuZhdLOMIh7psmTRIrfjFCWel+hGOQyxk0RsdCajwqRziCLvVqrT7n
Fno10Z2T/qGN4zmHab6PWpAbrZ07mYUaBFVHCyuZKPC+EIbNvf/cNNmb6zjNSyu0ir80/axuYrNv
jF2DRmf/AwAA//8=</cx:binary>
              </cx:geoCache>
            </cx:geography>
          </cx:layoutPr>
          <cx:valueColors>
            <cx:minColor>
              <a:srgbClr val="DA80BE"/>
            </cx:minColor>
            <cx:midColor>
              <a:srgbClr val="C068BC"/>
            </cx:midColor>
            <cx:maxColor>
              <a:srgbClr val="7F137A"/>
            </cx:maxColor>
          </cx:valueColors>
          <cx:valueColorPositions count="3"/>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gradFill>
              <a:gsLst>
                <a:gs pos="93000">
                  <a:srgbClr val="00B0F0"/>
                </a:gs>
                <a:gs pos="0">
                  <a:srgbClr val="FFFFFF"/>
                </a:gs>
              </a:gsLst>
              <a:lin ang="5400000" scaled="1"/>
            </a:gradFill>
            <a:ln>
              <a:noFill/>
            </a:ln>
            <a:effectLst>
              <a:glow rad="63500">
                <a:schemeClr val="accent5">
                  <a:satMod val="175000"/>
                  <a:alpha val="40000"/>
                </a:schemeClr>
              </a:glow>
              <a:softEdge rad="0"/>
            </a:effectLst>
          </cx:spPr>
        </cx:plotSurface>
        <cx:series layoutId="regionMap" uniqueId="{87985012-4B4F-4F27-B010-EA43E20A4FCF}">
          <cx:tx>
            <cx:txData>
              <cx:f>_xlchart.v5.6</cx:f>
              <cx:v>Count of Customer_State</cx:v>
            </cx:txData>
          </cx:tx>
          <cx:spPr>
            <a:effectLst>
              <a:glow rad="63500">
                <a:srgbClr val="FFFFFF">
                  <a:alpha val="40000"/>
                </a:srgbClr>
              </a:glow>
              <a:outerShdw blurRad="50800" dist="38100" dir="5400000" algn="t" rotWithShape="0">
                <a:prstClr val="black">
                  <a:alpha val="40000"/>
                </a:prstClr>
              </a:outerShdw>
              <a:softEdge rad="0"/>
            </a:effectLst>
          </cx:spPr>
          <cx:dataId val="0"/>
          <cx:layoutPr>
            <cx:regionLabelLayout val="none"/>
            <cx:geography cultureLanguage="en-US" cultureRegion="IN" attribution="Powered by Bing">
              <cx:geoCache provider="{E9337A44-BEBE-4D9F-B70C-5C5E7DAFC167}">
                <cx:binary>1HrZjty4lu2vFPx85eIkkjroauBSioiMjJydTg8vQtiZJqmJkkgN1Nf3dg0HVW6f03WBauBWPGQi
Q8HgsLnXWnvt/I/P6z8+Ny/n8Ye1bTr/j8/rT69MCP0/fvzRfzYv7dm/bu3n0Xn3Jbz+7Nof3Zcv
9vPLj8/jebGd/pEgzH78bM5jeFlf/ed/wLfpF3flPp+Ddd399DLGhxc/NcH/m2ffffTD+bm1XWF9
GO3ngH96dZiq83gOr3546YIN8TH2Lz+9+sOHXv3w47df9d+m/aGBlYXpGcYS8ppnhGPBCPr5hV/9
0LhO//pY4NdpJhDHOM1+fvHfpr45tzD8T6zn59Wcn5/HF+9hPz///t3APywe3r989cNnN3Xh65lp
OL6fXh27Z3t+9YP1Lv/lQe6+rvx48/NWf/zjaf/nf3zzBmz+m3d+F5BvT+p/evTf4qEsRP23I/kL
opG+5iKTKU7p96Ih4THKOGcZ+W3OX8LwPy7j+0H4ddg3IVAPf6sQFC+Nsb8dx18QAvmaM0ozxPn3
QiDEa8gFJiBG302I/3E134/Er8O+iURx9beKxOk8dudwriFZ/yp4wuy1wIgR9i/gib/GkDCQLvSX
aNDfpv4lL/7Uir4fkd8N/SYqp//7t4rKuxcfflAvnT43vx3OX5Al9LVMWSoQlb8cfPYH2pDidSYI
I4KKX5Io/W3qX+LyJ9f0/cj8YfA3sXmn/laxuT4DfZy9CeNfmTPZa5YSJGmafRfBIGeQzChhv0bu
m9j8yTV9PzZ/GPxNbK4v/laxeRsCCMK78fz84s1v1/cvyBz+OiM0BUX1S3AQ/mPmoNcp5zQl8vuI
9qdX9f34fDP8mwi9vftbRejhXJ19MOfuL41OKhllJPs++wPsfU0byX7FtW/45k+t6PuR+d3Qb6Ly
8PeSxI/n1jY/3Jyfp78uLBi/RphDxkj5h2wR8jVDAhGUit8m+4Vg/twivh+J34/9JhSPUHP8jaqT
6/Ozief/BQyjr1MqsUhT+V2Gka+JlBmn9FeN/E2W/PllfT9A347/JkjX/3+j2Pfvz+8F8x8+8f9e
zwN5pJAsvyLUH+lFZK8pp5wJ9v16/tda+1+v5vsR+XXYHxb+v1y4/+ui/p92RwHFyO5nn+R3df2/
f/rz9sC8+Wbov6tnfjmr4/NPryjjDPDpn/7L1y/5deQvqPQN+/63kS9AZz+9kuy1RBjsGMk5zzKC
QVsvIOJ/egXFJwLhBl4MI1QSicEG6NwYDMyNXjOccgLkRQkRKYVB3k1fH5GvpMUQjMwyhhni5J8e
1Z1ronbdP8/k179/6Kb2ztkueJjz1Q/9L5/6ukXBcAa3C+gPymMiCKawhP7z+QFsMPgw/j+hCxkf
p3Q+9FXI3izTGG87V/E+p5kdPyXZVp8WlA19/ruD+s60mDPQpd/MzBjIJpkK2DiX6TczT57X85rO
84Gzqdzbkab9uSVLRMrOmLVq6nFtcjsu0/umr/pttzLX17kUDZ3ysl4QP6CmxyT3I20+lENpg4q4
WxXDUYdcjnTIke9Lk9dt6aeLheBuzIcJJ0HhJVCreifjJ7oMioY4dgdCqfjQsnY9R0eypxZVrdkh
Ms/30UfRF3Xg9mRNU1sl+7Kv8hmT6X3HhN2DAzQXsm1PzDp7WPQ+LhvP/dZ9qoYkN4HOxeawK3zp
Ps/NiK/8uFT32VSLd9nGhwMtk+pqbHvc5SZl3OWJ5uXbZG5stdt04o5RkjXvyvgiXFofUEv35VyR
YyBrVSyLuZNmEvt5bTfVCVfnCe6erG3nfOnXEXZL3swyEcpm5CG2Q5enVdPlTeumVWWU3Xb9UsjV
sZxQpAu9TDBwHNJ91/MmTwLqFO/HKh9Xcu6TplM6YyeU+sKbplGajoeubPbL2M9qKDerBpodOB99
7tOtgQ+5JSelX26XcRqu0NSH41aOoyobP+2Dm9rCjWzK8YC6fNIe52GxYldLSgu/luEQUj0dCfJ4
zyxNj6AguEpmMuzwOE2XJfL2QBdD8q1at3xKO3JRl9W0L3vdXpq25ocsbcpi3KI9bMuY7GbCnFYe
6+bYdQl77vGsLyaGkkIkPLnZqrk7YjfYh7g1vi461rBC+8lWSq6lCaqqEK3yVJpWF0wKlhW15Gbe
LZT5cxS8dnm/UYi7NZv4oCcmr0W0+FM3k/Y5iFiJXNZ9ShUxy/SgXX2F1sQ1xTIie1ORbDiGOJw0
YsllS/v+0myte9dKzuCsq7FPFNqC2XZjutgt95lJuELIcZ5bzd1d28wNUahMsVbM1V1BWpLeMF9v
KF8xba4a3+LDivumPdSJkW/aNBmHImkZKgbebWSXJjggtQkur9FIzaL8EOd7koS4Z9pEfal1vzVq
QIP44IOMtSpJvd0MgjqTDyIpH+Ii0REFu3Y5H3R7tUFCHWu8lL0ySOoLljXs0Y1jKJXk0kY4zKlq
FY1soQrzvrmlrZufMj2kRslMLG9qvhJ60gkbl51MFz1cxiXgFzf0w4HTFj/V1AzTIbSYfen4UmZ7
RkkcFfUDRURtMU0eJA/LnmfDdqq9rGpFUjLSvBtQ3SjaVOZxIrablB2S09gjvO/hRfNUW/EwbWm3
wPpav2+25LZk8Znr+pNvzRWeq0OPErafIqGqnUlzMZuM3nJW2WJg05UNda1k5PVVFmytNpxYRVDv
i3ZLwkXVDzcd3/zdUKFnU2OuRje2eRkafYEq0V93QtR7omFHIrb9XrfC3pkyCYc18fI0bSvZhWV1
nzY+zvvYJvwGxUrboo3lclX6ev3StqVmyi7EnjIjiYELLEmZb12cnRpjij+JarGXDZmaUybE7Sra
tVOpx4EWGHeevwwu4sYq4SLLZZe0kJfJ+9BqYGvv847j9G1totj7bp7uM4rRoIwtZRFSO19u0/bS
0wHwwzvG9mbsyyIjUVzPlOUpqzeqsjXRu6XV9uiCae8ShMshT+lEc+SW8kE0rKaPc7KNQaFYh2Ot
h/lzSNrpxi+Tr3fGDU6t0GC5leNs8hgcwaqiq4CbVY4JoIX+JOfKF0mXygsqV9gYmGF5Yxc4jZWQ
t7Jx5pRCHFW7LvANK1xgvdQ3c8l8vujyYmpIm7s2vQyNEdc94eZy4ukXYCd707msPzTjoCvF4ab4
Y0XrNe/Loda7cdtQVNZr3BVJHMZnm8TKKV2P6ErwzpeKlFXwOzMm1apkOuvr1cwPNur6XbBjvWsE
lS/I4OkQLV2HPIOEOaTDLOeLvucV283zLG+GULdPAuKUzyseL2JTds/TzNmdX4fyU2wazN74oQWY
DVtnQuECRauyIx+rogd14FSC9bir+3G71najeTWhT71J3T5t/XZoCJ5PwmbFOnbvk3Xq29ysnqxF
7WsqimXmFB9sO/lBsV5KrMhgw+NSE2ZUiSt2I7xY1l3kI1HNvAx3UXb3Jd06ZSY7Fr5vk7smsPJm
TZYBvrTMrWR75Edb4I7hggw67rQ+tlhUu0Wy8VQNwEzpOCtaWw1bMNfZjJ4HsX6OgO/HxQuQCojE
o90ykyfrQC6SpOTK6jIpCGmuetmsu20a04OcdZeXmpTFZjQE2azsVKX6SdNM74awwAUoF4BnTYNa
AvNz3iabeWjXPu5cZffJUu5sy/E+xIlcmRU6gE0SsEKJsM+rJiEvpzlcN15SZRNMlFvXOo9+IEr7
cjz0IvYFRGjZgRakuccdKuZ1e1s2Mxxk6/pdy+Fgm6Err52c3aH0/dslNclj5rrxImTp9FVqCFXx
MRwcl/gACCRPOu31TtYj36GJ1EXaMX7BK8qUqbI7n0RI35aw2xXijpbGh5yM88oOSc3trl6FPoyy
jorSkULCW5aeQC74D1Z+DarJ0nQ/eevvuO2zXYWDlzvXlcsHaD82DyJs6ISypv7i15QfE6CcI56z
5V3VN7yYyOrm/ZIiN+ZsnbpCC1R+QWabLngaZV6FhvQF0Gx5SGaZWuUsNnc6yYA5az2jS67ZelhJ
Rc8ZHoerGZH1ts1Cvaik7zIL5034pc5aVql5rtpLTSb7RkPf4YTkjB/jUJUvjS+3WfWdbA9y1LYG
YMLlsQoovdRw1Cjf1irbaZrYS0gVbxXScdYHh2R9aBHBT5TJTLGUzUG1cc1yQxr9PNUdmvOGZ8JB
ELr2rpYyeSSCVxfW+Hiq1mo7dCjO71ka2tM0xC5RG8iHm9h1fk/8lHWXAaE626WGbo91FePLVPEW
0lTW9cMosvkhM64f8tpyU4C0nfIFpP2+Kmv/JKNDN6XpuktTYnSIZB4aID+xaAX3QL+3bGBF26Lm
lK7J+jgvLbuYOzvfJxkNoCZ5eUe9k9cNlvgUOineJ81S54Me3HvKyqN3OFU86JtRVvyKSJ1suyFJ
Zw73jLWg3A3yOSAeVpxs9oohuqlVjOPBJQQEz1LaNRcDVBZq8itqVAN1g1F1WrY3ZSbMIWu6QZG5
A8HYxvDAQ7IdRQ8r6GSH31I+z7WCAoo+luXC9W5LSIXvgCKA3yYt5ggAhnnRemnzpvG+yLYu23Pa
bfuMs+FmqlmViyY7V7bHu4TgGnCmiwcyV3w/DL15BtHS7BLeB5vrrSFaTWvsDm26jMd+mP0HSNrt
Ick8qM107Q71CJPIBJFdJWS9S1unc95SfefWkdwsHs3r2VGyDvdxtUPzJuGLFkXot6qESgQKvLzE
ulpU6Ma1zBmZEbDsFBKpuJyTQ9q76qFli35ce2y/bElNDlnk2u22henDNCJ/30eCP0wuY4/TupBG
xZFk76dNZ9uusrZ7o9vEPK8Lry4TaJSeB0aCVmKwFsLR8/UBgUB9GanbLvXiqFStXYeHOGLAim0g
ANAgvAHV0jDow7DWANmjp9M7DuE+16Vgb1OO+PgoW8bDTekGRndbtZBuh72E/GmrcTfTWOFcpjpO
RdZqMSo74WiPPYZLWEw6KSvQ7X7chTZyrJoaspfFSuLCAR+eHK4yrmo69Dd6FMYUS0LJ9ZD0AkO+
CxKVm3t9HNxEPzTbYg4dzvqnPiPTmUBJlA+sHx7GlN3bZC702vii91KeQtS00HAPVQPu8bkSZvmo
u6w6cpvap2qbk/e4d6nc8SyyD9zG9XIOS9zPmXS3ZKP8XjMptcJ6LS9Y1eyG2NdHUNTmaiVsuRj8
tF1McITnWej5KriE3zHTj/s2EQccnLi1ooqXgRNcTPNUPXQsYddZoFOt0iwgnA+9jWqVA+qVaGJ5
cuM2AuKI8lob+XHS5jmZ2/V+6lHZqXUYW0Br4onyfM6+TLIXuZlau2eE62JeiHkaZTa9WyrInCbp
wruq0booV06vu6l2l7Zh7X3t2BfNDMpJH7KHAeTsXdPOA6gr27+A074Bgy7kovM1f9zmLFxuGqEd
3sLyVGNaKZ/U5saXaXXntpHu4jj4btfiPlytJVuKMdH9kevW3M9gABS0t65XY7X0dxPUpJ+GSNi9
abuwj1s2KS/deDunS310Yng3odW6YpUkgjxo6bRbXSbzcYlkX09hOxveRIXXCeV1Q0EDhYq8n40j
1/MMLkbD6+y9FUP5sbSA+akGnQa0Oj+AoxI/WtBiN13Q227zZbieRF2/CaDyarU0iO23pE8uKWP9
denhys8e8F70bvpo7djtyi3Yc+SSpKrKoKTG3SyupYBiTc0RsssCqxRmtlJtGXCKXNI5ryLUWLSs
91tvquuOzuVTI1N/mfZl9ZQ4uFfe8BYqwbkrZB/rojUU34kMkctSzEuRzFPzuMaeXJuk7b6wZTWD
sqgjjxL05A1qgfNU7Er6LHUNFdY0tuMJaZ9VaisrfZHARcM72swJViHU07tpqIMuXML6d2Hthwzq
rhW/qdPYP4qR+HOVGPBWRD0NXbFmQ/fe+6Y8LwE1g8o04MvJu5HfbYB+T9vY1fyq6pqtUi1v2biv
almedVigvkonSz/NvONPjrRbXgvhzuuC+4KUSLxzHEyatA3uSoNSs2oB7IAFVW1Rd7LZ21mwhywB
9MZ8TC/gJP3tiP18vdVzOE/tNJ/wPFjliSx33tnmIk407jfj3ZWXABhO2/79KJDd67pNHtKmTvOq
RaXCIg8A8S7vnOueXTfw9SZLtEkvEr4tKu2yGNW0aPzUQbVhVF+v9suMmNxnI4q7WMWVq3JbtFGu
i/FdDTVkoUubXnhhE6Ng8xo0ASuhoCbGs3YPKmC8img2H0hm8aOoOrhAFm+whsS7h+ikX8EI0t0T
a4cvvraD3A0idudtLOMXBxr0aNIEYKhMtsK0gyvSOUkOfLWfag3GFna1mkQ8N2saiwDUnC8h0Hwx
Ffoqxp4AZNxlHP0bVC7koCebnHQVJETTJWrKmrRIuLuqp74ElS4fgvXstqRle4U0I4mirAUXYC3r
Yxq67rSwjh/tGuE6JGD6XW7tOLmiMfQrTbX72oWhyESjgKo8ZFqyndYpymuroynA9BgPOCvRJwPX
51OPUbOpunMtjG+GEzcovZ6hgtrzhoaHKoq7uBl8AG5eHuoy6ToVMB3zKUmXQ5NkTNVgSt1CU/32
qyf0AfGS9artF0yLOumqW1B2rVYI8OraCMnB7fKp0SozTOdTBYWnEuvGwH/bQkFX0zyhRjRcZcvI
70EaNCyvTV3eksoiFRbhLwIzPK8aagvqEVKyjJCXTZmp0OC23Ict1B2QnhtPbAQvMWcTKd8NeiZ7
P/b+QxUpuq7cVHvFTQIAzub0ntppuB5gttwNQ3lnMKLXqE86MM4yJ05TlokL6urqktjoT31A/cky
Kx84bvp9t3Bw8kgHeRr9HG7BXPNhl1IPkkaKtt4NcxIXtbG+2mkWP2fbsBWBaJpvmqDnZNP1cS63
8g0HZFJcTIQBHW1E8U3We11Nej+maLvNPLhvhgg3KFy18nqtQ3+/JSuCqzcgeJTQ7oK7ZTuvcyMu
+7Sv3vJ0ABRcnR/Ab+Sj6sG8wgqS2t9CTUCeuInMFQjNoLkEu6AeyCy4WWkRVyj3sFQjSd7KMHtV
xcUpHFsN0ezNuqvWZr0XJWnyIcrkGBreXyYOuTwm3fARWRAgiXa28G1lAYz9BZTrhxq3w+2MXNiP
tQRXcVuBSOHP9BiYbK+aVSx72gCdFp2p+phHWYYdowZy3M1gN3AZy8NUDyMG4iHzDW4y/8T5hp/k
0umimWJlFDhXm85nXtmdaLoa6uTF9o+1BzG+t6lfY7GJuer2SQNe3mk2hoAl2zsC9xbMj0mZWifv
uor5S4lMBd4ziOg6N6aaH7ZoRntygts3RmxoAT2TgNm7pTxdimqw05dKtNthmxb+sSYbf5Br5vBe
dE0y7KqK82afUge4VQ0mG1XTcDLlUybpg5cMJPKSWTKrWmb9u4nR6tOcoLjlmVwQO65+LPnlljH2
aNnWvR9ouRySqhtu14larXQ6+Ps56g3stkjkXb+AEUdn1t4C3XxIse2LUvpaYWg9fkwcNfs+rkZZ
Kuill6R9qnwVetXJddhP3JBd7HADRko4wilsO4/69YZbL6RKXebehDCvBSrj9gj2ZXopByLuaORg
MVSL7K/0tCVehYHKZ3ANeJrrjmS1QiO0DpJ1TViRiGW8AA952PJRu/W9lRwIAizUeB1aJnaTube9
mKZCdzx7rEPZXemxVKzmY12QRqzXJQEmuPBAM62ymwmfpKngX2FNXCevVtfOswLXOb2XPaWr6pfY
ZIUVMRnyQMGpLWYnu7qg1FV7oBFy17As3NNItndgnC/3CZ+6qDLcHGzH/CH4nr6ldb3e0j6wnZXJ
gvbOklj4Jq1u4b+YI9Tli+QfQ1+bD3blzSkkeL4bE1IPYEFiw06DXKHrgnEDP43E6U20oLLyIJL5
fdwCB/sfxPXepGt1QMaut2s2slEJVmddXsNB3Ltq3JJc90Q/l9iIKbcM4ze6BKNX2Ra1byoryG5N
SiigM76lQKc+zXlmoJBaW5rejA77h0E79EAW2t3GJO0qFUs7fNhWaW/4Vg1Qyw+SXyOfILBxOl91
FzYM+C03GTnZIeM6bweLjPIT+J9KVq24rGJSfrZ1u537DJJntxgQbGpGw1IW82a6gkcKZdw2zs07
uG3znHeNBSYA13O99YiWn5ckfAU4SKIUw4eEoORIcdiuEenEpTElOuih9SfAdiAgn6Fnz6bRFJkD
5lv6JHnLE9vfr3wUl6uuhiu2hPm4UTN98ROzBw7XdlCLzAahhrCuL7wq22JspgJqiKbKAw/dRcc2
cZkCbhezcM0bts7pZUI6qrY6Ts9dNdA+33hkh75B3UXFxAoaTbfDGffIm52ehHuAEgnc777zb+uZ
ynsJ6uzz1gvxZiMj/BgBh7yeh/c64AglXhmh3WGFTy5DjZbdBGf4plt8+AwM1EpViSV7TDZMy7xr
R2J3zpu7qRX+wbk6he4BYEun2MTYKUMh3LVUNKcewyBcOqv0xsUdXztwE1Bsp48b2GpfCXkm13Ly
fl8KqEqU7pbmoTZDXeUmq0j/pizddr/W0GIzIG6uELL8Hppb3bFB2Dx4kvY5qdc0n+cBSg3mxt04
YqM2s5S37Rz5JQzTt5DdyacVN2MOf7435VzvsHXrGUpmeTOJbbuLa/s84LRo60nng3EyJ1UWr3mI
7Ru70OUwOuHyymRvovVkV/MmBWYE6/IYPEorRZfV7iqC+CNdYF8ZF5A8sQ8FayCv1Zj4ZT9D+Qod
mgkcjsS25TGAbP8ojON3JUK4VYyu4wMDQQ+VQJMms5ITsNy8rv2lnVPaqphp/0HX63gF3dXPbqxJ
rfrg01ujibheuGP3K9gZHzshWapqXOoA5S60b8wEt2lB+gJQtfzaN5a5RuAp1ONEvvRdOSfKo2Hq
cux8YnOw3Udc1OkS2zwFiXCaEtG9oxooy7QZSBYDDmeNyWIVg26LUxPun6CfGo4tnO/ODMFdrGaU
BfznD93JiKQ7IJoyYFO9QtMqhPYjp6W/ht7htGt4lF9m3/nTktQNeMFYfkDCoFHFqZFJXqM5u5zK
FISsqKBvRbcJKhiCzXLyxIOV0w60kNDNAbu3T899yjqWmyYkxzLxcCPBI7EqBR/jOqwpgFwmhn5V
wZs3aQc9H5rh5dGKlT27Ja6fLMjWx2GdplHxev2K/2U3XfGskk5tdF0/DjX0LxWggn4CixSkydZC
jafmCsB4nqSAPkwdKBBNHcz1kiD0qaGpbHdLXwZwUiIQV+wyfiydQCfYVLLBVR/X3PR0PsY0aGCu
Trvj6NOeFb0mXa+qsonvBlkT6NuYbE9ID5zfDSbsSo5cmbuSJGURhN2uJ1sCeoeF1Jci4/5Sr76l
Kq2j+JyhyoKXh6Djp+rVAVsR25eJwllMb/rWmlGB0VYHuObAYqrteDUrzic6XGXrCtPUNdMXpXcu
y1v+X+ydSZecOtelfxHvAtQyqQERBBHZOdNO22lPWNcdnQAhGgG/vja+XZrXadfHqkENaq07uJm2
CULoHElnP/tAvbdqNNBR/Lq8nkYxNWGfOM4FRfZKHJnp1l9YBF2YDLn/FpotUaGFICoOVc3Yl3bM
6zsNBfUBixf2LgrLZZgwLO2X3q288ij8ZXpCvdmPTFk4j+l6uqpkv5yGNJj6A4U+GNncLY9Trtxb
GYz+l5I26yKmgpOTlCY7UG8YkxMDRXAIUBy+XirXu5rqdrqbXSjexFuL5FXWhJBp/EhK7iGyRj9y
CvtAHVRGs87idN09DdiEX81JrS7SqZ2oL73uaOd2/OppVtwO2E7c+Wt2TpdZHoVw6xtn1P4hGfF/
S8H6LPSGzn1ynTa/69KsvC2N9aOmdzN5aKexyw+E9U/ZoJcHM471TVO2EjK650TUT6qLAiv0WelR
RKmW5qYamuxVsrSFOejc5sdB2eVzl5LsnHqBuJilsWfs11EmboaUnb5zHH/ROH+BHH/yJJ8bPZs8
zf6yPf3z4/96bCr8992W8+8vV9fUvz/d/m23+uXfir82K1jTbf/Sejf/XAs389fdrTzODz/8Fxz0
Av7zp3vrhT/8P2ODPBA9vqAg4V7Ggw5AWb/k6R/mH9x4RW7+/Zd/4kGC/0dCiAqoAIfqUr4ikX/h
QRxmCQlwiK/sNxEAaP6lg+CScIOAUVAQwFfpP3QQwCGOOkYgOVB+jwOz/J/QQR4+/AdIxxUwBLhi
Rc+5C9cG8LPneNCQcYHtWzHHHEDIW9QYxFOLdesWAvJKQiBVfegd91NSeuYriJv6I/TY+cBxfhki
2tkmEiNWYcGc4Ml4Y3M1Vjo9ejJXX5hKh/f/fzK+7Av8FzcDBEbcX83Ec179AT+j2qKj3+fjn//4
r8kY/AecGiPCD3y6zsZ/WTUG5yDFec91CfWwWOBP/p6N5D8+Yx4BdyOk7/scpsK/WDXMRiIAigQE
DID4/kd/h90PuQWI3l8/P2fVcPr/r+noe5j4bMXWkI/pZjr6Qi3ayl4COErgsxTd3IZd4DShhrb+
mfbERIWbBe9sy2SMDVmF03PSH4UtkovPW/+La5b6XI6df2z8/tVQBVVMq774qEwpTs3CtR9Ofdl+
blFOCYOu7Q7Kzumdk3TTawnU5gRLI07KXt6bLwF4rHjKOvFaOyy3UeZq+jlRTUVDSK3ZaXSq0xwM
t3lB1TV1A5T5Le8v7ZJeOM/pCqvh7K+DV+6Qt2cdpMMTT9vgS4kzHgmzDFUF4yTDidQekQdVqOlL
mtPk48CS4WrpCv/I+NTHS9dkZ0aDGXKfW8cQ/HE69dVtMOfyFVGJjWa/aM5N5nrHdh54aFvqnvOh
W+4tL7MoKKbMCyvC5zhRdbGgPpzrt+PSNF/zNue3veuQq1YOj0vnBu/9pZP3RLQUmy425hjVJiE4
KTSdDlVvjIgS6JxLOFfFGMt5ng6AMcqnbpjdK4AX/VVd+p9NUo23SZnnN3nGu1MuZPdGaZ1dyNyJ
g5MsLgMhIfJPmZic936SyusW1cebVHbJJz3hKBNOHXO+YUvf31azHJ+awq9u8cDxPVk/hgkYt5S5
9M6ypKuPsP+hBNQoFSWu/DZRUFGcgzwAizBWV22pVWgU+WwrMCjYe8jhlBMQMpjwFAPl1G9o5Rcg
f5LgmMnBfRpTnEZbrtpzwMbmqIfSuyVZ1p21n7dHSwJ8dWzCwyLtGRRoNuowtaS4Zk7yTprFHlnu
VY/UVX04dhoViSUjH1DML8+DL5vDSEX1KlcKcreRKBfzEZKd8W11FEkX2VL4R99yE1Us++pjSBIc
hzW784AiXYZWAmZK3BsUBKsb2yzBF+wc07fT6KUDqunVu3ny1ZXMEv5oa8BP4YRq/g3URmwQtOs/
rMBUfXACFENwhDA4iJhB41DbvQqocQ7ekOrToAv/bgEOdSosyuTZpIYMii9mbQ7R/60Sgd8eJ47d
mVNhzILCc4+OqXHOY1lz7UipXw+VFtdLriVQSWzuyVR8aSnKn14HIGIW4l2psWUsKzbiuJReMzMD
dGRlFk9JXr/15BzcZfh2/QFHoyVCBRvnvDYr0ru+cdN7snj02GeEZIiyJUjDGnBd3BE7hixxoYas
gqSoWP1ZLmUXHALmtGfgJPRkJkdGkynvl6H53HnTlQRMeHBce/Td3jmZxt5WI9Fn2Zr0EOCEl7XO
EaVp/6LrgpcHP+PO8Vmu/knaI2tWe87ousicWHxd4jGUwYAV/LgIJwKn7aZDOshNCnxrZM3ihlrX
dYbpWOubSWGjays/Il39pCZFsqhpjbmjiweVN8WR5bpfRvstqbIBp64amNdIQLrkvlPeNCmpn5pW
mRMQnZxEnGS0ivreQBPp56UEbbDGc/k9trEFJvRSIy74pVvzgmXzMB8sUK46GqhTfvz1VxfrTuaH
7w4iOQDcTgkToIVx8v3xu89OT0FcpG7ssfRNoHDWqkryxpHTR5e6RYgywHBgIm1vhBlECuGE2JMc
J43ZYDSYGCdlxovYkjWQxpdkigsfVVFTqPEryqrpY1ZN80W09kwndWnJ0k4HfzAfZdefmsy0MQpV
V77yJY47+ee2nZoD5lZ1Pw3SXLBDa49qVsNV4HXZld9WFT105djiKF2SSz0awg9u6fYRxhH7f1sW
x5GPwLeCqbofUEL52Miy/jiPLnAYrupPPmTNO+jk7Z1KTXbKrFfFDRSGp8YxyQVkQXI/V/n4Gj+K
k1mG/KnwSHY1jXY5BkEvo6XiLLY4OcQNtwSEhp0vEIt7J7S0T04pzu9vZuXgKGeXtDvgtu2BFGV2
KmngxcYyfiqxyEaKQFLFGjTkEWpB5l0PivyYEujqBSmCY6tq+g3e9vS40o3Xgy1Q28Th51pjW8dR
B/PZO6dn/iuUVJw3pINiDIIxxdoi3eZrWzTTO+40/B0TTQ2asTX3smTjlbtU3pl4NLtJWtec/ZFe
KhQO+jHDOQrcx6GFJNaDkPCmB99a+zDZCoweVEUAh8pDWYhCLlXzMB0LHOLeDL4KDq6/NHHWeP4n
qkny2CQUJ9ZEvc36whLgcMwuOP8v1cfK1fZ2IX5/A9AwQ6Wzm67rVPKbSpbkJLnKbwSbO5yLhSQn
4xVzEqaVzA6uGfUNMJXkVedY/cCFFS0I23Q+s4qrI6OkRiHKDlEAIfp+sFlzyydISxl4ybBKib6a
4Ip+yNYsotoE2xVxcUBemwaVUD97oyCFtxa8rpPOt1PHnbiQwh5Q56sOM1IVaEwZpRzZK1nzGEm9
7AFwqfNNrhluXHOdMsGhsaDv6Ihad42KUrx8T4zD9ySJTEGPw5o5zZpDpcmQZ1TuL0gEmQsybM23
KMfWb6c1BxufTle1bZBztd/OT6gZyRPQfWR0gNOvR4CI14vrDR8ZZKhjo4SA7mb8U/V9YSjWNUKs
q4WnPByGy3UNaaFSO2ec8uv8gAI9liA30Ksmh1q/RRWoFY+z27BXnVY0OU7rupabDESebLySxZ0r
zRVO2frUrevkYIrlWHxfQWudyk9W49h9YJjTBOtUrq9BP4/IoX3Vnht4CeIkk8B1zfclfXFBZaaz
02XHGgDrCfIQkJWlwyMS33cN87qBcLCTWNYthfy+uSi5LQ71INgxW/cdLraPSZC1oIEyFHoSJWWU
OMN0XSko3RBopkvC6grgT1XFGluf4yir4lIMg9+Hg8zoEQotPdTTd0RfleUt87viQvqmvy3Syn+P
QiG9Q7VPvq5nL6lQsc2Aj2Um+Nou2r+flGVwGgzjfd7N+VtnKPo3Ccmn7pi6g7j0aeYcHaCx07Fy
af6Ke4GVYZ5n5I47ZDgbpy1vsaebIcADH0Gt3/fZfTXr7ArOh+quH6A/hdoK82ky45PLtT4G0pnh
tSAuO1UJGEQ5jdmjSPHFgRv7F+OgAA30kI+PaSC7OdQdIxEpqXPPloZcBJ/om6pA/XNCR41DLrB0
eVXePAKzQDm/cY26AMYr+iNqU1B8s1EWWHj1cFDBVHS3KG2nER9tcMbG0v00BcvwmTQ16lr9ArEH
G9KUnKxdUJzmPBVtmHoYxlnkEAALjPhBTTy/ElzD8GKkcxW0oz1XxTRdFbAFoHKYm+CoW54+5Knj
fvAmeb+k/fRIFHDtqXFWQSbJAet73YRBk/whm/3yY0E4uFLXZSQkpuo/pSCaPuoBxK8rqIqCpkxi
/JVPbm6SCHfEAEHV/NrXASa/I3qFpdzNH5wWunpNVNOFDQCgLrQz4N4cXyMpC/g5eHGQjeZhUyxf
Xd9xUNJs8gZ8XU6co3aL5iQhlkAA9t2npivp1Th3wy0jucU4iAGls7LAPxbA7fysxBeooYRKbNgj
gzPASkhdBS79Vtng0zw1JMYCpnBASpr6IgyTiHaLTTmUiPQ1JPw5RubBxjop3XfFlB9hiajeeVT7
T7T1hjPQFf3eMla8TzrXfC0R78fAKbrz2C8f68B9R7jiCpg60FGU6259bl8VgSDY9E9QJqeJwx2C
tQJhBa4jAmQXEAiWDXcB7lN9kbzHupuU7CogipyXHiK3Z9j8IXcwT92F+teTdYajznjy2Tc5jVMu
C3uAio1t/VKj9GinYTlMGf0yDFkSB7R1Ttyb/ZvcVPk1kLt0vh5qp3nNYUR5BEMAUgMSQv91LMHv
HAgMBjfQ3pFtxpQUb+Cv4V242A5fqiqrkyiohoZAGLbGOhgRiah0HkVgOK465n+ofKRhIrSBtl9X
iJ8O331UycUOsriuPQt7E74ouPLCURHFceRVybvsXBuxRDZQXayTZcLBiZCwdcr5MsGXFkNmBq8B
lOGpwk4wB7Y0B7dVUM8npklzIt4gPmZt7gGHhNclkU45hBUMZxZ1apfjGJoVPTxTwNtV9yFIhttF
uN/W+kU0eon3Rz864lXQJlge9WNXCpqCc+m7135q5iq2eb58KQhgf5LJd1VfY1M9YG1f/NoDP25s
LN22C+eMTLE78OKYT8p916dTy8JkRipuzWiQkkaIGNTXD1oklX/AUoL5rWrZP6I8sTxyPWgNjUDC
TiTYjVtm8CQ1+M73qgYIVuDIHkKE5LeEpv7DYPOeH2lvZB0HInDeMCzV98Sr7Tdafkq65VhbDarH
T5eMv3IgsJ1NXmJb5NS3lSxC6rb8aIBBibBWRcwBbCCLQCtnU+ccK/Zl5pUqTqC0e5DJMyxXNhDe
UY/JTW+L5Q4bwusewABzhydZfmyW13OWHnwKdryt/eIbIPS7sqzqk0S1+0GwpP2A+YXFi8/9K7uI
9FpltX5yxxF8b65QhTg4WGfjABH9AT4E+5ZXAfmQuCV7zwsOhdnt6AX6aXGFlSC74SpxDpCnvXBI
VBXVkKUORZFeegM6IhC5AP06QPAuNH89Q1X/yDK9hI5MK1SVKRwkBacHUZdMnaU0bMF6KqanASnv
oOvGI4fG9VGFpgw163xuI+oVy2FxgumNPyQ6Zk6zxLMS9DSJpjjThuEgm2EnC/fCHI25N52xhwRJ
QhuYn0JD3OSeqVpfaDtMp1QNNCoh/Lw1OXZ+o9+zgwmG9gx3QHBOFWwa4MZnL8wTdzjhHvwjrEhL
NOq+eGrHmaVhP6Xpoc6r12mNJBp2QKpO47rggsduY88r3ypn1lcl7Ya4TDQ2ZGUGwUEUOPPDO/oY
mLqDhUA3VwVyxhh2s9IRyxsB2UE5lh+qrkQEAglHwl6MHQ98dZHhVppDH4BVC8e+6g9QEsi7uc67
gwOd97NOa3LOSmSIhFTw2PV8Rqjk1bn2oQUCtYKhT5ZFEhYNspm1rYW6xI7zUCbXvpckt7VXh3WQ
fWIozBQlfCwN/kWWXJsqAYVRTiSCYgD7joQwJqwbKbbMV6jw1UdsH17jXH7wA2UxttVUQtVMqtus
hMRX2VEcUSdYonxiGY5JucDZXJbqOoPHE0OQeBcLHf/LMowFNgxd/S1L7BRyK/OLJLNzaJ3E04Ae
gZ3VdVF+8VVTfqhzamAmK/3kNXXG4LbGRvseZ5UeXko2XNyZo7LEeEfeFQ4dDz3Aig8VLF8AVFVz
DSoRVjyhi7O2rjy7JFcxHeEJqEndnbvcHjRMaO5UgDxDB5XltIjCixFh5G2P49p974DNAa5p4OBA
7SMLwEG4KQn7orxufHY1dedZYjyHOgD7PRyAyMjXfj0GcWFF8Y67il7aUqkbkXdyQBmSXRJb3KeE
2wG9bf4RD35SBvB/dhRmlEof+k7gu8Faq39m1bXgA5OEEhk789xFjBb8s0lHDr8lq2FFCAzOv0RN
6WPK67oMTRnY5phl2nkAwz9/4mLRJlKUZdGcF4sXpmu9EjUdYkH7uYN38LKFOmH9vcLp8oE1MDyi
QDjDUnKVswYMHWyrzPnTCvx/W0L6f08c+oxa7z997f7uV/G9pO79Uhf6wZT/z9//swAfCPi+PUEY
I5Tj0PdvAZ7L/3gB6j/ShRgDVWitEv1dgBf/cVFlZ8DUeUCgFf0rB0FCgm4DiUhArfJW+/n/RA76
cQbCD4FGA+gSEaxW7mczr0umpCnzgJ8z7xjgDDaixcmvpvZL111//+y6gZ+PvANfF/UsU+A0FnCz
mY/T4L7L46k8vzz27eVsp1rAXIdy2GvLFxfBMS3Nt19f/0dV4t9h2TjYg2opJbIuj+Cx75YH7VVI
HxkpmBeiOFXhsE1aFF1+/WEvjdWmENbh2RcW1Fk0dQRGMumS1IQNqPPfldwwKP8WG//9MhCUng+W
CGAzAOTCI+Ab9NbzLK3eWLdw+c0s+3qKHQGHaVjNrX696wttq5paupCw1w8cVSCmqyYbYGXCUoud
6a8/YC2P/uQbrcLq828k88W6/UAYKuadsFdAvRL/oMvOz25QxCj8W28oB5iburaeRYhM7rUnt85G
c/7153vr0P3sBtbeC8+mtxZY/1k3swjkztge0AEiFsT7pmFlsWXYpnZEl4NZODcNsPIyGvwG7B8q
liDR0ElwR4DJdeY+uwOVztWomMUQwJxwIKb5JuAa/833e2FGyk1WaBCpVs49i7AciSe3mZswgY/l
1b5b3+QGhXoMFn3DopLk+VcXzVxvaidHtXff5Te5oXEs023GWKR6Mb7zoIkBZV/EvswjN5nBKFto
VMZwmMeeEvLE5IzmyHXTiJ23v8kG/pRCAlEFskFDh+Iwc1RPwrZFKB33jc8mHQBidWpoek5cN7Pg
9yBvsh7Htt75Te58YfKIjabRSXdwLQisGH0xqmhOqWPgMSo785sBWifhT2JPbIIfdRWqBjiF4DyU
S4XmFJ4eI2i5Hkz5eUaDnR+zCXFCm0SC8hRx36Nyd655U7vRAkZ5inQO4GlfqIlNHLfN2CZkqmSs
0WnhsTRz9goiTPD462f90lhtAtmWk/Qsth2x74BbVJ0R5AamgKZ9XzIJJ/uvP+WlJ77+/lkuymSq
Sym0jI2i88WpFvdVkHrY+++7PPnx8k2Szy4Gh8eDaP0pdIsJpr0F5ul9l99E9ADwVkh00YlHhSeA
7gxVBHZT6J13v4lnWKLqWcHyGMNeXuIZzHJaKcw5X3Z+wCaey8BhbTBh9AOUs2tYL9HQIjIo+Nn7
XQO0blyfP17YMEnnORO6rXRZ/g4Vse5+ytN2/s39rzP9J/HMN/FcBaNloNhEXKmuRUuIqmqHd6Rd
Aveqd7JAPMDGR/hl33fZRLWYDRoKo0ldrAnt83O/kCmAA6Oy7r54XomZ54M1oRrCe9+IuOxSjZJM
5Y9gqgdqfrc2r8Pys+HahPScFqlbWcynNpk1GNIUmM492haM8MX3Cfw/U+rPEIsrST7ivGfr34zc
S3sevolyHD8T0SwWeVdJhd41TpcI7OzLANs6iaoXhfrUw1yL5jhcwxY2LTBEc/R9ad6Mbs+HnQO8
yQZzwh0Ysp0krgQKvShzi3htHPWbyeitYfmz4fV/fH5s7GHn9tsgJu5i4Mb2khHuqmRZFDgeIuZX
aVc137RDbXWmi6zZ3YTeDvWtL6QsUOtDteU3t/JCVuWbxCHrAiZxixI2CqIdOfAl+Kqnybb7kjbf
pA0FBdubUT0BiaRtnPbe2oSIyPTLrkBjm6QxeAaF9yJFAV5P8gPDUnoHrKDal7PZJme0JK0LOKGC
mCmcZA6DJ9EfC/1G5u43s+yFKFu7Vj4P4y5vZ+ZPRsb9bBP/gsqjgfKkPUQcBFS3Cet8WMFqcGXp
Z10tcLvsG7dN/iC2VphEhsdcJhXKTq3fwRAAAGPncsE2+WOhS9kO8KxEQ8u8iKPzxXHhze/Ilhcm
LdskCZ4ELqSiaYm7IQXAVgs0zjG6+E0Oeunqm9gHRZI5E5YGoB45yoS9VxwTNKDaOak2oY9TTyNh
F1liH+fGEI153tcp/d2u9aVb30QzWl/V4FDSJYbXES70uXaxF2gzr9g5bzbhnBVDr4mZlxhV3eCC
7gjlMSGSxrtmJd1EM9Ej032Jq/cJ7KKWiC5E45d8372vrRmfB5us/UWCLMC99/6qM6N8zqEy7cuj
dBPKhesY10LyiVsvV6cuqGHWZHQ5/Xpk1rD5yXpBN/FaJyxbFs+xsXXYVxw7y/FE+1LXMdgevvMb
bEKWjGJEUR32S4LAfQ1vN0RPNIDbdxz/zmk92733NbZC6Glo44ZClZXoOQTEpt6Zblau/vmz9fpK
JXIphjjtFL3OVYUWW5PaeeubiMVCnZToTdHHbVMk3sGApDiIDJXt468f7gtBu4WSWZJ2pYMOc5Gu
8+kKXRT6myFJ1M6g2oQs6qPO6AHfOJkhtd0bAplDvWIGEtW+ebN2Gn0+9qWXj6sTfcKWEJo3GhN+
mIO5/s3Ef2FsyCZoWeGUaJKSjFGrABmTbvDDNgDOtGvkySZoiS5giCnkiJF3Phgf+7s6mJJ9j/U7
i/5sxpd6MY6DVip/3jr10a4LjY723vo2WplMAJ14YxRYFI399erd/oFZH8fze3dHje6auDo6HWSH
QULJ59wvdg77JlozyiSUXRdXp/7XNqfqlObpzsrWtiFtCbBE5ikuDoCnioESG5y8+LRvb/AdtX02
MFNPRKLmcoxYn9hwguE09GDF27dEkU2sVpn264a4Q1SP6JMEszFad0Fo2zXZ/U2cdoASdYOOoVFV
ZjTklH1w4GPYefFNnKJdqCFz5vSRQBdWtHfM/0D3om7nxTdh2nYAtLATHqICju8QLRDQBcQAj983
Lpu1VZDCSXO0s4lEMHi3HeSR+0Skap9E5W/idBqojw6/wQBc0gC+WiBPoy8KOnR1++bMd9X32Yz0
2wkkgE7HeKYVpH2HaBZr6/ef943OJla9PPFNM1VYWZNOXQVF5x07NJWL9l3d/zHPDCbRJJ0ZGq8G
5KNXQEGn5GHfpTdb4ambi2oG/h3nmXOH9Phhhvtn55TZxGmA1sjCq0UPER9k8ZCxR2B4zb4Hurb7
fp5767JzTCCHIXZydJGDieNG+LBZ7BqV736957PFJVZ3k3SiGm4g0C3vfVZd77v0JkplblMH6/Uc
47JdHy4+GlCFc0fSfakXxsQfxmVM2QCqBR0q8UIO94n2yANhly/evp2GtwnUoVW+q5JmiCu0STs2
k/iUwc+8c9g362ki81aMuRliNpv5UFUat17+Tnl9YY+0wgPPJ0xQc5prp0LrTtMHtxKtYm+Vk+j3
+x7rJkT93u8NXkeI6ZglWUgq+yTA4+y79iZGF5D0RZKVQ2zYCFpXTh9UK+/3XXsTo9TCqp/DhYBu
Mt0jHeZbRrvbXZd2NxGKfpHohUDSHrYhxzk4RXKTL2jhuO/im5XU87QW6EvpRLBHvKpm8UGaWe1L
Le4mRJ0M+3QDx0sM7u+hSZsTOM6dt72JTopGNGRCAT9qlvEMO/o1ZftWUHcTmBpdDHijcbbjVXoj
mymuTbJPZnU3YZmrfsoGNPSPdPV2GUFniXf7HuImJFWAPuuw7MBwn5WfzBQ8yIXvy1PuJh6HdizR
toz38dwV3uMy935cDKQ77rvxTUSSOpnqIg/6uHOAEqAZwzlIgqd9195EZKnyjuHtfg4QR+xu0YXn
DxqQfQsbXsr0YxLExG5b5WJJznI+ofk4dWBoEuOuwKFbdE52o+gpG52o5W9Mc5SoYu8ZExpsIjJL
s5a22dzHgwTMYQlYRa/lj/suvolJC71rRgvHLvIyfbYK2n5L4H/Yd/FNWOLVCW7pKFxcKnZPBv05
p7PZOSqbuIShb3ZbGXSRqcg9w7VBx+699iY0PbwbAo2zPJSN8bKKm0GmxVVLJ75zVDbRib6Mo8J+
FhOFLTxc3OKt4tmuDRb8dD9O8SkYqC0DRP5E0Jv04NKEN0cfO6B8V2qhwSZANbo5J9Bq+jil+g/H
jugYVr3dNVu2sNZIiGs4wbgM6CFybAe8AwVvtBG79hEoCP04MiYbQfOjjUucTtM9bGgwNKJv9b47
30QouoC5VGSki2Hiu4WxAq2qhfD3jfiWrxpS9EkOhrGPXa3QI0YdCpPt2qTQLV1lmFOjQXHVxXBe
re5ezxw8WnzbNyibAJ2hKHSy6jvQDPxD2k1XuWBv9l16E58TXupRSh8uBLwyAq0I0bj3VFfFPgwD
LPSPM6Vhtg5GsEIxJCTYM5bmThB4yfbd+iZAB+13ZeZZdCsHa6PCbjDOtTO68+t9l9+EJ7pWIyvS
AU90nL902MFNnfy069JbmqrHwpNp3nRxydPXk9YXt6r2zcMtSDUmsuSFoiZexjaL4DTxj3gF0Od9
970Jzhwuks5MZRcHGWw7dL6r0Dn215de17H/llzoFpmy8Jsq9FgzcVaNbIApiRe3LUevL1v4sKz/
+kPWePnZh2wWUVbWU102zMQqJx9VRt87unzcd+lNiE4gHhUXiUH8j3DGdcYLvZHuk+qo2EQp2ggw
vHHLx41T7301OvA3OvrdvjvfxGg2tRpvN8m6mPk5tdFChhkdUaTKyuO+D9jEKc3SVA5SYUpOzgN8
G4/ojPwbCvqlB7qJUZWzFgdmXDqZg4fezdHwmO+Sob631nl+zFfoElvBd2Twsq/Kjx3p9w9eavNd
pC/aSP2YGH0xumjHgpmYuMuMlwDgnWJ0J51G+SZMqwnvG4JhDO/5GrUbuqM4tTbdVx2G6+HHO+8N
HQb0CcW4zO71OPvXik37YohvwjOwMInBkmpikaR1KJb5OjD5Pt0Mfq8f7zvALHEnv0Tj6ma8J157
Y9x+531votPkUCe4ddq44/J97pkHVba7DnEULw/8odiUTLQqU12YmGNkwgAQetjOldyXD7c0Uk/w
uruiCVroNvC+G798GJxg3xZ0iyK5Ls5ZNXPbOM1JVYRo/jJGg+vwfQOzRZGKIgCVhq4RMQnQ6FIO
nL9Wubvse6JbFGmElTkBa9fGS2B8tN2g6FqBdhi78uEWQ0KDItmwqcF0wWtA4Jes8U62bn1x2lj+
ZjFd5/RP1jm2iVGwwOj1gVaJcZpmVhxqFM9ieNHafToC3eJGczmgn0oFT6h0urI9jFZX3wa8923n
oXELHMFX71KLDuOxyWa8eC3lRYgR+qsZIroP/rw/2UujswlXISa8Lmx0dTygdfbB5YDY0ZxvZ35k
m4hFD3MPVfhaxx0VKV5dufjlH+U81enO2bNZTaccLwGzE8amyfBisryv3k7K27fmse1y6jcWbzsZ
MO611Oe5c7uTxZvWzrvm/ZY3GgleLKOV1XGRsOU9Wp/izYJC6nLfwGyBI4I8yfwZjxWu8bY7iUHi
3VksaXi78wM2yyrEuBINKkaMPDrkXIyRb7NW7avN0y1yJMrKB2NsdCxo/yZPuwdb9m/2jftmWU2T
2RKl0jYWdfCxbqwXZpT+jq19IZi2oFGLkrl00B0sJqaQH9Egczqj+fS4c8psQhW97KZ5IayJEalB
yIG+wJjviGjfwGxC1cwONHqFqzO89yVkHrzj9e8oJrHGzE9y8BYzav83Z2eyZanKde0rcgwFRenq
LmJHXWRGFh1HlqCAYgXq1f9zn9abfqf4h91TuA1kwWIx13wquH7bjIAhwpSA5bxpaiw2aQWWnDBc
qBtjF/82mQE+KQMN2HmUsks+oMUt7Z5jDr7SG08Nu1G4l2xvagWPQmCFYDvyCJOFLLzCIOqu/+g7
Aiu4cOka9a2VEr70DIklATARtfZjamEJcNCwQofLJ26pZxjOBVl9JinMMuBiXPuliEJUEz4HUPYu
JyA2hvRAYeMHezldwREODodyQLcdWaeTIWReD4MzMA6d4Q1WPo8xC+rvQ5R03TlbCYz0+hl/78HC
pwnWji7JigYYY1WwJRUTHG5bwe8ZHPPxyt1K3kjGfe7gWHOx1dCv5xCIoOXkAUWND66PRXJ0qY9R
wtbSxYXQ1rTIZzlfwAuuaJqbtuqjO9+UNb9o+LzH5xWj7QGjVHBtXwPz2DcujA8xTBdWODH35fqm
oxq2qPtm0GbBNHM8MTXR9szglIeqTwDzCcr3rTdbpRcAbgsSSW3PIAv9KmP1VqbVvvfe6rwcbmJm
TfDeyVSeB65vyyTaVxzcirwSuKgtESpIZ8L5nJcBgA1cR+3OMdlkNj2a/ZnCpd1ZkLrOZ9X9ZnW/
L+mjm3WyRnura9KwPU/LZB/RDVbdtHQ0+5Yyel1A/0cKIFkVTg1hw1n0Kr6Pkb9C+T+NX3ZNRLpZ
KHsjnHMWsEmViQngsA7AYQOflZ3Dvlkpu6Ya0SbC2zNHUTlPSH0vV7Gv0yzeirxgpRTBONm256W1
gCm0oa/PM1yUdp5ytjKvqAGkKaCYkQCZJfMRThfTmqdBAqDGrsHfSr3gSubLQI7tGRdVv72Nb5MA
sJx9z87+nDZ28r3rFuApZQjeEZzv0lkD9l6T3/uev0lqXNKt1E0EQNwO5n9gBncUd+xwANunxYD7
2J9/gLeNjsJZIEEII2Af4e17rKpqZ4Kw1XvZ1Jf1KrCF446mL6Aog5cNmCrnfYOziVkfolU6qZoW
XbVa34KtlIxgq/Rw79r3/E3UgokiIGRqsQzDiu5WNjT8ijPtsq8UTDZBm86mW82AfBWlLPjXxeV0
TsMx3TnpN+cQQvXEwchENl8ZUQy+A3xzNGbfgkM2G2vUAww445wM85SG/pJQm/9azQT3nV0DvxV9
JYQ2tawVTI1Y6oILwDgRHMi8T/7j7vAf+upAkvhz1qO3tSyZhlHVqoE6+2BVBUxcmTYA5XoYF31A
w9ljEHBdH5DFKV4IjsPoSQZJ0u77+tEmsNEUzMKpRv4J1AFABYGpYUBhYEClT/vGcBPYDLBYnFmu
K1M5RuWdqQT6zpYOoMSdH2mzH6/h1KO9ljRnSqNK5bOvfQyHpNjtTLCiTXgzuIj2cGlqzstEIFte
p09Q7//YNzqb0NZgo458WpuzhetUMQv6ex2TvS++iWzRwbUQlm3mjNz2pEELIWTYVwL4q4Xyf9IU
EwShgGU7Wl1iNxQqiHHV4NfXfYOyiepR6l5E3jXnEl5ygHPBIMsk1c6tcqsT82nVNqAbNfBdnoPv
BnaxP/oA282udw83ET3UcdPGDQx+kWs9pm69053Yd4ux1YmJGfeMDO6xMIMn8jbSfZaLqvX7NrFw
E6cefPDMKWrOVGWtyOss627B/GrkvjDdCsZiDoNJ1oTmnAICVnQ8u1ExmFT7Rn0TovCEBleUVzD8
i6W/H3o4Nqdj7V7+/enXleRvzujhJkg5fLacj7C/6zUGrhh+e4IfAadq2yM8/dvm97//zPVl/+5n
NuGaLawE/0OAozRR0PEAZ66voRXydt9evHXdNkEFMi6vMDcT8jaN4auIyp3TfhOycLIYsxBsPbT8
JskBfpoA0k5wWNszMgBo/7lNNpiMgYIq8BilffnqlsC+NTLZ180EV60/n66rJppCMujrGpy9WIDr
zmOVZLsGnW61ZBbVhbA0jcZlOKoSbZe9BDGcb/cNzCZop2Vs4NQOdzzFYOFUoPkQaD3NgdXc9/zN
3gpDmrK0Y6/B0ku/o3b0YFL5ad+jNyEbO7hIJugQRNNqW8KgdZjcL0+7fdYblG9itsLxrZGAOZ25
zUoUHIfsAhP1add0p/Bf++OU3pJ6mgHX0+cSlsvHJALQE5Yq+3YowMn+fDpQiumSDKi/wRI2Wg5N
BT1CUcNc0e0qvsD14s8fyJwvwTWQ+hxJthwysL6fW/Tzve76sltVGcCcqHD5vwAKYoaLZhiFIGdZ
2D7++/P/qrT834WSboVlLKZkBrMMUwd2hmCORlEz3VRw6O9POIhN5AQvPTYcukTP7X2w4FRwb9O6
M19IROPTxAj8kONgSXK+lhPcFZZAqScAy2YC1mS3VKDlynL93pZLNZ0aiz0XIPt6/kENwIfO1uPt
Ukl3ouXk8Qh4YMg8NAClfpAR+lte1NWn4kNTZXY44MAWr/i3vS9kCOXnY20luM74r4fqATSS1v34
90H5+82DZps8HrpGMOnRkHwUZVQ/Oq74PalgaLxvIdhK4tpAwSkydOpM5vAXI90Lj8TzvjffrDE4
ay4mYF6d6QqdrSbxhbTDfxlpXBfCv5sqm1VmmgIj1mFWZ/AAKQVwb9X+wOE83B88Tghg9nCm5a7q
Gvz6/gyrqOMJA+NZncGVZ8dYeX1arRYf943TZs0BOGjCGZGqs2tjCXPp9dMI6sV/fN/rYP/dOG2W
HLijVhNIkerM9FS9QVUdP2UAOX6b6yi4+ff3/6ef2Cw6YclTQWynjsNMFTvIsYMJee56FNsvINyV
5D8O1f/wybeqOcgTxOSYFkdxpVicpmSOoA6Do3ZlVqAhoejeV1WiWxGdAMfIlL3GoDUEDMuYfcJC
tHMDSzcBHcBwBIWARp0jXMeN4J+MNPqPBfofvsRWRJdSaDlX9OAelOjS8QJn8eTUglW7HJlwOtyl
LvgLdPe/lewEz2ZVlQaw6YCRIHrdxWfgcPe1ttJ0E9jDwruqWvr6nKbJeILmOstLGe07rABL/Wck
uwqlSDpF8lzFWXyybjGHjFe7znGgsv35cGAVIg3yfAkYRHUbws45btnOMd+EMYDzemhHPHpd42PJ
u5OpyK7zIf3rAvN/TvwLXNeqgavyoCpylybBXcf2VfHo1mQMssKrEW5VHmztu9t6GMZzkNC3f192
/mFj3EroyiSVbqEBJnskhqO1PRBtXMenfU/fRGnIVV8mYVCd4RRt76B6/dSJZZ85LN1q6ARLBUAE
U3XWC9GniYMZHXZ6nxSVbmV0wTLjPsX01bmq6w7UhOw+SPvhuG9cNuE510AND7TlB/DVqxk0W//R
9krtKypStolP2fKx03HDD43rHpVuz3Xf7tvEt1K6Rc5gbAskUnoESg622WGx6uQ/Vt5/moyb+AQN
ZlzR4YcgGhxYwxxwVwZH4X1jvtlgV5j0DG60FbqWzFI0wgJBXvYN3ydIgyH1n+sWNwt6LlTC0WjV
Ai+c6bK/a2dV7euDBDD5z+dPrCmbtKP8YPyKO9sXqAD+Y2T+KtX+TXqz1dLFbI1gTiXkOVoC6u7C
yiRoMBIwDv0Ap6QWEA0OhkXaOZMcwRwGPqsbga6CHadly6mDkXp3XG0kyDeTJsSdy4xW6a4KPN2q
8Oagi+C7MV55c/0oLhUF5+IoBwXC4a55sZXhNRV4GFkk08PcS4YFaqlBAZcJi+iPfT+wCfZ+VNPq
SjtdCQT2CAKBP1ge76o002QT6kjZEmqpmY7R1ffLJx06teN0l76ablV4NnXxUI54uJvg3ayHuMtb
TfZp/GiyifZYgnhSTc10JHVkgY+JwF9p9Pd9g76J9laBPxyCunB0RJo8CwI0cM1xuG9f24rwBLSm
YRzQ8dhCWZO3qhePOqXj+65332rwYm8tjVg3HgOOW49YreJYLcm+gdl6flW9j1pcxI5HeFSS5wa4
i+8sXNN9adBWgAfUpe/AyRqOTQOWG5yr4QgTAxWzb2CuGfv/JFmaj2DpZMlwBKy+PyXlCH/xQO27
Y6dbER71hK5aAVJFvZFQXI0f0F4973z1TZxOgPOW8LcbjksaASwZqr5I1c5cJSZ/jgsQbwCYdRj1
1cCuxY/L77CX+3oJwUH+8+HBak1XajodBbpnDtxLsP8IWjn3fdJNnK5ogygrh8QqteT7YOibkWRf
ezWY4X++uTQoKbc2no5V2AP5akl5LEvI6P79zf/hmLhVf+lIdUS1NDuxUifuWU6mAvqYEUBF495i
F/z3n/mHnGirBCsdLYEQwh+RkCw4OJKA3jNP+5RgdOv3ZWWZjiPD04VoqkMGGVjB2+XnvlffhKuq
sRxAz9gf7WyXojJdfRhMuW/j2yrBuI3D0SRJf3RqcicjMwJYEl/37XxbJdgCMjQDvKg/jnLVp2hQ
H9eoTnZ+0k24rtLEa4taz9FmMi2MnusCktR9sn/c6v8565t0Scc0K+0xMEFf1KttcmqXfc5N6ID+
8+llHGtAQJk9gqwnizUxushgk78vF9tqwKYItNqpF9mprpv1wxra+b0Om//yrf+HUCKbDLqk3kcT
xMpH0HHRj3JNOCyJ/qtG+E9P35x1QbhBuXrh/BQHKJ274Eermw+7Ammr/lIREFfgZ6Qn+HyVOncr
1ImjnIfP+x6/idNItxRw5Z4DiWcaCHDrmYGTFoEwty9Wt3ZfFpQoZPGWn/gQ5TUntzrcmYmRzb4K
I65uXACOPJkY299VD9HsEyTSrfILMIiqlGnHT+vV+kj5KC5imfl9CQHZhGkdajmuSxsf4MIFhqF9
Dtk+N0HQLf+M0TCBqIgCywyWuT/XTXAfN9XLrqnyfyRfsBGSPW3iA2GTAVPMgmB/kd5MH/c9fxOi
jY26Wk9teorbaIaFejzEt9dWvf/yE7wG49+cdLd6ripQNs58yU7GBsPNWDpnHoc0FOKIPtW0vACW
5+XDuJb/H4frv46qf/ej11L8/6St6ULKxtWdxrF19s1cRLrSxB6VQtTpkyxnBRZca4CrAe20w94+
10vfpJdWWybNCQfrWplcr8otF1kuQfmNUg/ZXRNC0qpyWi+r96DQ97a7VyzK7IMbwIZnlzmI0w5Q
tFWLoMpDyisq8n5MLRKhluHT5QnvWvHN9tJMUR6rtDIXuirYPR8WHOhTcVg65/tCLbSe32Ah512V
JwqIH9h8L+ApNnnEpwCgQr7AGl7dRFYxWN8b1CxHAxRhrye84ADi9UdLDA4ydVpnv401+Mf91MXu
wCD3pWAxNk4VYDqS6rwCZc165Mggu39rUbRNp3zuozDyeZIxIa/0PMV/GDEB9INGzrXtwbvtq3r5
fBXp3djVLHPewDRqKLyvhkgBLt2u5XHFlQ05BqSchwKw3q7mhWN+ScyBOCBy76LMMX6qkmkFgFx2
7XIDSkBTAI/r2EMdTlV2CCsKfrZMwZVs5sxkh8zAADefO8G6BvrNupXiMHKc99MCFZJZtHizDojS
PCMsRd8IQOhlnCJtxFrCzHSLr9XKCkhBZHY5jwINjrNpyNduNOzgl3VOf0zVutCT7dtEPa49ydi7
7EiaPtIRqNP7FRTnSRz0ih6V+MT9FMERYWXppB/QoZHhe9mqsng5Ea5cTKcQrsbIxkzYrupmYXT2
37sMyGFRtA7FYJBt64x/iOYUZoQFiOcgiYksuNpA6kk3PkAXywrRFhx00slNxwXfsm0vJEEhjVyY
ajKwrZniJ6ZkU7QMsPIe1RSApd01s3TDXTgN6uh7rFGPrBVT/WGeiWgyTIeWTKeaJsDKtkLGBC6x
ctEHnGtk9iUbadPe8XnFwQ+w6Wnuc28BhtY5wMkpQQY1jpTSgieU1i+Rynp2gsGKAs2c+AhV7XCE
t9qKa+bRCfRuhcvARig5GUzWQj19JzpAz0zv0ti+pYmJsoMsh6T+jrNPphE0Jm7dYaiTdnhUUyjY
B8izOnOqwVImB96C0n27JgFR95H0av1ZNbqd0DHTB2382CFo5bGxYCNfrInq7pMMTBYSLG9KsCRP
TcztYziOKvoe12WZLXkpuBFn751LbkPAetvPtWdLUsDzPkQ3uvA04rB2Tpj+UY5eKJGrTmXfE8o6
+wnd5asscLuEvQt9Hu3yAFXfkOF/boP4R1v3br0YYpflg1rDKCqsRCT9AJ7XsRuhyPo48lCcQtJl
9VPWTyk7hlll5Wun5Lw+ezR4kAA30fANyA5XJ2J2GTwQnb8Vbm7kHZirYCG3ba3Lc0d41N9NHQcd
tI5pTL5kDETKn5FX5SNayINbXCOtP9DaYvLaJwKg7rgMDnO1Zv4WDAm33sA8iH7WvIoBotbodHxJ
F6mbx0iUFdCbbTUtx6CT9XzDlz5kZxC1VfgpZKUqX2XHhS3sMgbwRAQ1d0ATjWEA+bl1SPqHIVzH
8EIts/ojwB1l+zQlPJWnUKo2PYxz7bB2+gRc+BP001H/0HHHfmh4AjRFiZKhf5Jz2GMpke3sjyxp
x14cQtxWuTtVw+D4VIrJor0mSJ34ILOBxxcD6jnLxzLo2XcpwUEuRDOosc6zJipDgI5iOl8GbYbx
MHoSBodxaEgE0O7q7Rc6crzBIQlFBDvDGW9RBWLo83oOhubYXC15QMjG8v3YeTSmHRPb+68kXDwD
Xk2AWVwABcEekC6JXyVCOC1qLYkBrd0n7aelA58RBkfGwPIsp2pdq4sf0SX7YQGfri9z2QF0i/V+
tb5t83rENu1zVLzd8MNPjibvQHD02BAU3Gr4q8ZTrh/SjlN/BMQRN53HxhOT5Oj9bJKz5hFXRwdS
tF5A4x6z9c7Pg0DVYgbGit+AvIscEZ1sUl4GUNYCsGSrKnhjierJQcZsCg5D6CJ+SJd1rd/7cKX1
laXt+XkybVAeOk/K5Z4ClvMcRkNdvaFyRBYFZrAe+Qmu8WK85QonmMcFJbHsFKsK+91YlkkHnXcs
53sjwloV7dpHYxHbPg3Qt9APJfDhIWZQ9DqGyqAZo4nH8bmaw5TctLgyrh9bON1VXe6WGAAd+Irn
ne95dIkoH8anZOiC5hup5kyDRUwHzLFGGi1/Up2tmAkGlm3DsRVZ5U74y+b6mBjAeD8y5WR5O4iq
phc00TL9MPUEgK8jliMNoPMU0PLXCqtkeJoPsk5uhrYSAtpmdGBhjmTwUboFy3qxN7Y2FJphAg1x
eBwsqIdA8i4NecNvZu8ukuP8VcM0Hj3pnMg2LjrYL4oiwPpUFnNp57easJHeZNyi1yVpGohVjeuz
oFjAeAdSrm/9jAYSl4KuugSZfMbrJsnT7BdR3QQNiXFzVJUqmD4Ys7bNLaS7ckVW1KzzD+waAziu
QxWG0cv1poaGBZVduj6sIY/NgJV4XcpLVuPTw2iWgW5277Egd0+gXwz9JRwlH2/mkfHkunPPEp4A
AsM4DPnIEeUh/OrEOomiq/yyvFA+a56DmpaxUxobrG+5or7un8Ixyrpvaz/YuM716ObkssQ0nB9j
zH75uR5mIGjwR9K2fAIouPavmcIg3q6k7udDQ6dkvMH+HwAQ70Zi3BHo6hTE6kSN7YqPCYjtyXkV
mI9ptIzm2WHM3G1XQxb6VLtKVkVcy3b4PNuUJF8MSZfMAIcOo2qLkaJa/GzgmRo+w7U+5t9aOK+o
r50GURjnKxgi0sLUpE5vTDoOC/I3GWaszbtgWrAV6hnbB7I9WMayIAHgeIBJQ7tAo5cG3+Eqv8RF
iE29vqxTpz6kE+b3UYVes6KaV9RcTdrEnxICXURBlwzod5xF4xRExDadzkSnCXM5nUPTPVrZSbQc
R7DvPFle6/aBGusDnTN0YH2r226cT0lUxe4pasIe/ru4Z+Uf4qzx8uQ0SDnPHZH0czaA8nIY4hKl
gKwKRva4NLZMT2Ffe/KE+yfavGqVDutdVDddiwUzRmxAFg+hWnZWMFHtH0qjuZ2LLI7F8wLlS1DM
rDLudVh9h4Zo9L0SX8DGsFRFyqPKPqkBNaZcGqG7I13QV6tPaFGLjllJm+bQhyXBl6ikjh7iyV5J
rmy4Jj8ZpJUAmvPMJeRgpi6Mplyt8/KpzjRck/LVoGvxg0VzG30XA2vv+2ZCxlVIUQdFVMMVbimw
urs89YyOn8gE24MbwbzFfp/OIBbnFA28dswXGgfjBRhwGb5MoK2DYJ2w7qAWOTVnNSPUvyQh+Nsn
kiodgUzSw/IsiiuaHaiGPDgfaLSeODYjP+Z9UtbD4wTpFG8Kw0yq79VQLk/ZcgWgrv1K74YsU+Ex
A8FmxjaKlOMAHjqWfa9dIC6KNcn4YdJl5F6bHlxl3JF05Cuo5iCAl17GN0jXQM1U6KJpUWnP+7mW
N3IEeLuJ0VeNzZYW6zpym7eAIbHD2IfkRiAf+ORNSu8ErJRMznjdDYWMCBPwbLUkb1sQoW8zL5af
Mbp/6geC0DHntR5W/tAFpH8OPSxecQSi471gGVmRO0Vx/+wCC9nuOKcFQxv5A+5z0KwNeCmFGzna
kB+WPiMfWx8IIMFrpnJj5vHOKc2fhIeD/kFhGhfJPPmCyLK6ieOY309MLLcimvXXRbj6jVPdF1XI
XnTSm49JzRt+xU8PkJ1MWqkun8OK+yEXyHaX0wJU3XLDHBHvLJrt7VgvGT9gOoOovk7rfGr6Orld
IF+MP/ogS9+E9lAtHMjYpMFNaVLndV5i5mZok19k+LMay2X8mCSMLbmrzJxByhk5vxyqqx/ARS/z
CtuUrI8WC7Ju1w0E55iKtvVBMBcFty6K0Y2NtlIf3vYyKvnjEMzDeHLo8w/fV6YJK/gSu/Fuim0i
viJzNd0xGUlAbmxlq/i+np0G7FU0Tuc+sn32Tidtw6eOTtQeYdOwNLAkGJi8tICg6y+BBEsYZPOl
SqpDONRyzKekQirKxymtil4jR/F5SQNKdb4ky1T9mLOEdvdubt36HVAqj3RIjhmw7ritZG1i8xoN
Q/URLjolOfeZruqXOcLZ/9g2MTWnMcW6c8CJRqSX7iq/O3apIfQJTTV1cgf9LI0OEZ8TfonQNjX/
riDGNk/TMGY2LBYunLwduoGGLIehSIbr0bUmennB0TglOAVDsrneDYMesC7IJvXRgzUIyTeFw6r/
ohLFLzF42zggG59+iQaqgq8GF6w4Js9tAuIiitCywOxAspSXk8PqPvTTfHBG9Nknhp7+8T3zWNs/
D0PHSX1I0i7AflU2SeDemF/rWeQBISnY7mPZm4KXVJPHYc3m5XeMdn/9s6/QzXbMamALXxctZw7D
gaTtn8F4TtR8bBzcXc+8Ckj7zBBlWBFD2ncZlic5pygWygZtzTc1DaW/oUqq0BzitUcKkGvGmIAN
fIvzBzK+uisWZ6+5CDAuo3+px74X/syVUP27HoLWndo6GPllGPiU4Iut3PeHjujZfVU8QS8Sk4oP
X0evOneyIjRBwdUU3VWdKFnR4SJ8vF/qOhb4JGmFZsABVfait65DUtox2Mm8TytcctEg3ZX3rSDd
2Zdz9tpRsozIDpJ1tU+L1hoQ+TnL0RQmJgq+WFa3p8VnyVII4FSny0oHHNAkn9J8GH0b2HycRj+8
pJFP5W8HtEl2XFUYygPz1301FwMYEzcl0uz7CtZcmHU0MvS2rMFnvbNiaT/xDINwoOMYRzoPK0ge
3ge91gGy1CUMzvOKeX1GHhCltyO2gPqb97Q64wgQ8S8tLM5TWSRchNWrdYmUsISODKumHJMsoUWG
VXXBaS5A49yayqh6zGofrkWPgP+oosQcdVmxBqFWTrdtiArGA+oVNHnOmpmpW+96/h2VmM9IPUbC
gFRhkIC3YMSQ14aI8iv8LOrqIAwWxaru1cM4hsjMVhiM+ItOM1nYdQFwBG0d4U2V9lQ/dCMd9ENf
TsPdZG1bfwMgevwVdGoYDvMU4DPGc/qupvh6uaMy7O1z7N8ZconxINYOuTp0TeOca5+aE5qVOctr
6wVyA1xVOsDushn1WqyEA+o7Y/3o0WUCAmN2rfSg8bt/V0jGcpJAgX5BKZ0P97TLuuCZphDxQRSU
NsJdHBNi1Pgo0xIO6Ogu6+o4hzSr02OdsepFdGDDHyN0r3S/Z0eUKwKJytVXeDWAhtsn2RAfG0kW
gqlZkbe+wnnkvDT1kJMaC6jN3dSDYifIJH9kiRnIO/WTdMVihginnTTWbs5rl+ngS1VF5ffsmprc
ZDO6zD8uzP4alR5jpLu8i5DMmlhNNxxMkKzgrDe/2gQhm2dAdhTAgoTxUfM4+6v4p+iKQViyI/wt
yxhHGUDVTzNJffrZioCj/7jiJSqDATdwRhosLAoOSEqMv01Y2/7QeqYR1rlY1s07nNp4XZBeenpT
j/HyE0dnsd71mpS/jNQrT8D/Xhy5N9LH3cegDFnyKwIyI/mJo6VEZaQWyT1ve4W1I5RLQUTU+eee
l6lFXwfulmLBRPhcBYyhmo3UI7xLPAxFT9z1jBzmcQ3p0TE3uFybaX6DJ3IUf7I9dy9BEA+fsjKN
PkL7Ma7ntkQT0E3Q4mA8azO7I4szGPqutbOfMObqrokUZG2sBoAbHidxe2kl512R2Mb43Aal+oxO
3TnvEjRvWRt7dtfPNnhOmZ8fGF9ldmpLWC8cdbLM5w5YiXNkdXiJwWTGmtfQ4V1ykSxPVrToHnYO
fj950k3l+OYnWLx+hYEIDmfD4mP5GaVhmubMLRgH4usaywKnEW2RcaToP87C8aOcGZJEilKCEMgy
6iSAPWy6BoceMvjkmGQCdRMPvDo4JWm/VmdiQ/sO+/VavZKsRRP4DALDa4UXyWnlIjsVWLaX0ec9
amP0ySqZxgW1eJ2PbVv69lR3ZS0LEqfWf79qXS9to425m9N01fgNFQyvKoq9fqIi9UjYloqesswG
7Q0klKl/QSm6OWKZaJpTnyT1cCDS6QhyOYBhj60PsYjAH+MW3wLliNImrcVx20O07JZlfB0CWbui
SaZI3waBM+sZ9mPrzyABNinXQEPeibWdET5lhuFQPjwqHk9F143+lrYREk5ZNXeLlckr1MsdOgTg
74g6B4waaJyWn4MVcvJThg6Z5SPqTLPDRjSE0c8x6wVJwcBRK8oDg55sc2lwQ1F9lWs3mAJfCg3v
mZLIzLFiamcK2ZUW/uUwL+IPsEjL0oJ7ZqfL3MZddk7BAAcatXQsq/Igge3hyXN6DcKgdkKArtjh
xITFRx3qdeD+MqIpg+eknUeNMMZ9168Je2d5sf0YioODo3YIJaYhcfTexsjQDs7zXhZp7Bh6fUa2
qPeKwabmEMJvvvqsUdCIc9NMUn4M5xWrhwgCFt2yNDJJYTjR5NCiGuaKtnEobeVogprFoUZzYfgU
267PXgAEqVy+wAXaHqelTNp8IWuMDIbbaPwR9KAq5AlaPfgLWDYuPcvF+vQHwx/lPw1IUNl9MkQ6
LWKdKvKshQ9hmmxxKJDVYMzrggZ+dSL1EJolT9Bs71DAlM0qcFAfUXLApJ6RFILRXnYAa/OhfJBt
WK2XKA7n5oFb1GlzZqmHX7qV/a8woZV8JGvZQJdUhqq5mTIXkGf0TaYMMdXT1eP+p/l/1J1Jc+RW
lqX/SpnWBRWGBzzArDIXAHx2zlMwNjAyyAAe5nn69fW5pOpORaWU3bLetKUWKUXQSboDD/ee+51z
l3rL/sap3UK61UXAVMUe3sup6DQWJK69e9By5JQvel5cPiGHxic0Wq9OMaPSgBXXA/phFuCv6LvB
J4vFME+6Y9o0l3avlXsFZzG+T+bidWHkOFG/mzivp7C16zrb5JblNqHJRpo+85u2WJIt3WDunSJB
/BrwZX5ZD8a2tCpME+XNx6jXpRvgE4k9OySJQeeGUlHBPJtRaBUfnXG2VmqWvhZ7RIKKaX1Dbeej
wxqZj2F0TcOGyyDfinkwmk+p7CzX6B0M0VvsuyXE5HudFTl+rowJWc/DtKBOFIGWt97OMWtzmQ+Z
4VruM5nRRX+eaO3nml9ciVRQg8xWdWNLlc8vGr+Np/mJ0VvVsL2kWdOQju46iuvh0kGfIq3KZoov
eFkCppYojm+WwuhoVtrBcrjBRYZmJQNmLTbdqt4VXvlNLXTXsH2LLPTPth+1hmJA2jRMVY+3cWRb
TdUeO68a3BubwyOmVHTT9SNLmEZ8TdOpyrYiFqU28e7WVskuZqdVd4Jyn3vZ9KSwtzWlUfOZ1MKe
XL83PNKaJykG99FAn1Osf0H/79+9VgzZc60NlXZbxQx87sZLo0piweLmZiDHhlxjbHN1mx+SgrkX
F4morW0raXycDXsUh+aEAzC2p2BlhlTR6apWKhnqttO7p6lmknSmunadM2WR6B7KPM3ao4ytqTpo
A4vZv1q6HumBc6nZtkNVaIOfS3PSzpVOOtWdNnSD4owjhj7wqIzLzTIUbnutuh6jS2Hrcnxcc5DG
wNU7hjzKyksiZtpY67+5TldHj9bUcfiX7DdIx/WorazvpmQl1zA/THVsLdRTrLgODDn3w36pSs/a
t6js0y7PnFV/RlW07aPKmAQGtV4AAGzwE+utG3JtrmhbF0VN2zataQ6B5RSp5nPPXTl1twhmjTbx
GFvdAK1utkozmPc4JSOexc9Zseb6SzPXdtgm0hb7fh68dV+LWdNLIt3MafDQ9GJ2pVWDZ6Rn22i7
7tnuSFX/lLEYijOFrZLb3E4G72GaGM2EeeymMe5EgLRbVZa5c4rivMweJpc35rSYbtYd9YGVOlcj
P6vJRvNltW/TQRbxcU5bL3ui0VPRGOgD1XITppVbIFsLMtqUHgzczLUWkP3hLHXIHFC63jYDB7xE
GMtXEgz1zgg8jwDMYlMwCuqGAwVYyxvby7Rub3lOlwjPwDiM0qjdvOXB4m3HXOXZSbY+MT2J5u3I
nbz11lWeaaId7WRqkUdh5+ik15mXMZ5r7vTUcepdlsrGPq95hfPaMJeqf53U4BFakQ1Eh2z7uJ6X
xDcmx5bMOE2gK73p3DFwEDa6r8VIZP1tRexCZ24vUa8GmsZss9zdbVdvTAOvmKYsXIr2slGu75xr
u41EeRA4ead9U9aDFcbjUpdnsyOnBolUZ95aLa0ctgoR3/C1zjC0LTPKXoW5G3u0nXXT1VRIVqGs
t1myRf4UrXE63xPJIHq09yRq1w+rtK34vc4qPT/oFlbHg47q21yRGtD2jzmR1NQ2pS3msyG0bvm+
NHZan5cl1joEvtl0g9WjHPHRlwdmK6rrgP2aXlwNetFNQb+wOPTQ8iOk4bCaZhbAxjvMzIW44LWj
u/Ugm6/zkc3AT/qUxd1V269GeZSsvVsvn7aM8Dp4/cJm+E6K9B2ZT7PC1Ha1uiOslX4m6Equ9mJD
ZZ3xgOQgvbT5U1tPN57WjlawaJrRcrO4TYtdorYv76BXI1dRSbS2d9PJMdeIG1BSfQyX5+OHHIhP
wEtux4em8hbD1znv8gerbc2eey+2i6b3a7fDVY3ExKIomehKDy3T1sBrrLiJrs1E9tOWY5QsxDEv
1fjZp3M9n6tVFvZLOw+OoHlp0uG4LHKdX1xZ1OPNJcPR2nfFEPkFYTeNTzUaX8Tyeh555jLAvHWX
xZPHLsFpcM2gpMDwTm28Im01GaqVzeJKYfdvGFcb18dYZE6b2akzVLu2Se7BJAwqopGlzPcpZCPP
RXZskN3ojW7kPcta9yDNS5151rgro7apel/h9xN+5cIRWAGz73b4REiKEW8RbPT+DbViVZrv9JSv
qW9zyvZoiHmF28MnpJ6+cztjD2U5UDkLJ3nFYb0MrT9MLLFpdsXY2yoNpob8cOpQ3ZltI2ytBJQj
/Peu7Ynn1Wx3x6TK6gMdIqjzNbdvooCgZOvJ4qu10zglcX3wkov2G9N+z/XlzBTRTWV27Qa1YB2A
rLVIO/x7NMz6vHQi3xPUPc+h7qTV4K9LYt8wsCqH0Ikwf/81gunH5XPOIsqiKrt8o3tfUvHojH8N
rv8xUMjOrZFxDa9rqXsX0ULZf9FC8+PSuYq0Ri9SUm55TOqISN6oX3Wc1t3+z+mlPwisYmTwe9IH
KczsIdKYTGjcf01Sqf5UTFpFBmLX1ghO5piyFkB6jXk7d0i3NFippgeVNvM5/fkPcaGK/hlt9ANY
FjOimZXWym3FNtM8VJharoAHm4B6jfEjszj38Off6Y9gqh84s7bpuNRgircEAjTyoV+qaAjrmDo3
nHgykU5K/ENOVTov5b94h/8AsvwxnSiFD+NpYtpbx2UnR0/szKZBa/4Xv9AfvfoP9FnNRr9OJp4N
OVK8Z63xPLl19C9w8T967R/wUMr0pqjjyN4urP3wk3Y5qCG3/uKL/0CY9YbRl9Xg2Fs06A2DVOVH
Bsrjn3/Mf/ST/4CHRvOoettTzjbWtY5n+hj5RsLT/6+9+uW7/gMcZ2a1BR3E+2KuBdm8vceWybV6
+PMX/4Mr9MdoIqc1iqmeUy6XRHrmR4emNAW6s5jsFXLNovbrARp7j8nJrv/Sej7rx1V3iRtPkswW
e8s6VPtFNG13nRrIq3/+C/1yuP6Tu/vHkCKZLhayUCy2heslKNBeuUwMV/jf52L0zrOg8ua/lMIo
nZ2q08d0VY8GV5q9jzo1JPQqcbJhO+PHPFqsbvZ7SUn260/3H78Lhe/+/p/8+7eqptmPk/6Hf/37
Y1Xwz39evuZ//Z3ff8Xfd5/V9Vvx2f34l373Nbzub983fOvffvcvG+ryfrkbPtvl/rMb8v6X1ye2
/vI3/0//8N8+f3mVx6X+/NtPbx+FKkOanlZ963/67Y8OH3/7iQwb8x8+ocs3+O1PL7/B337yVfLW
/s8v+Hzr+r/95Lo/o9/YNFGmbhpY4rnGp89f/sT6GYRemg76i40D7oKMlmw8Tf72kyl/tk1dOp5h
eKZjwiv89G9dNfzyR+JnvgJtlZ7OtqTBKfjfv/ntr9fIrx/GPw/wJyTrd08KKUzddS3DMIRtsz9N
t/lN//EWbIiD6EqvsHZ1ZIjHNBZrOCxJeUTZ68IxnYfdSDpMkhWzT03svipZFGdT2EPD1ASIc1d6
hoMEI7KXNEnUNYvAnSvDK+FpeRglnt8hETOOaB3nxVwnKt+JluocZUnFSoK+KYmOXJxdDO714llO
9X2tZP+SoLcRm2eZ/Y0jtflWd2NU0E7XAtHQuU+6ax7nlinE0E3NSXRldWSHL+tfvLI/0E/IOTRM
zXrRnNUUp7rv0lOae1bnK1eUj5mKVv2QKaGd9JRvFNgiHfF9OqMDrlhET3OVUr7Zmn1yvGr8ylMG
1jDV0IyDRi7qmdGR/hTZy+RtqYl5bauaQVXylDMyzlfzw4sjZkkAvNWRyXu8tSl/ry94CPGLNONn
vUgRWNuKnQlFJQsIAMdq77Qa+skvBrXcwbyl2xHY4qp0RTb6esYuYWpOuxhu4n4ZvsMRa/dM9CJG
ISqa3mqGOaCNWjQC0GhLc53MmQ19pAOpbiMyfRxmiWN2163LcnCAvrbDgjLmlw1CeDZlQKaDrM4Q
mPYhNYyYIB6BLlnI1Nubg92SHml9T/pcNvxabE2GSxPtPtWyZvArTx/cYO51Pl36aDPzaerVV0ik
DHAGiJREy3rbSUM+2JUutyzXaz+WPleKdyMadoOWWt/qzJhejX50jlqdxic76ao7x13Mp0mU7RUD
ydQOkkWXGk4FPdU2bFgsCz8TadwFMnXs4xCj8efZ7N0A3dbsM8zKOCCapzguhFLDwaeMMRhQ3a12
LU8sUZ82hjPYXwuU6EcijvoHoRORtyfBSr9Tq0ZHzVwRUjO1Z+9aZ5P7Te3o8Loyc/sru3Wts91I
86Abmgm0ySbmw9CtZuGXE28pAkVW7A3NS+9UPEyWn3njfI6m7qHQ1+ir15bZUcuEeJVt4ZyktuT7
2GxN3qbK8K7bgTfKt2XpdjBzjV0FJQ0hbaGXasAmVSfXrQFdUfput1qHbuyIM7KczsQsOrb3WuWs
yNnpRp+UFtp187WuiwjhsSrCBrHsuRHtHLReddSZubHoIapCexE3fQbBJW0MFV6fYJAXL1GiNsVg
dtuqki37IWVyFro7fSCDfjO0trkunPahaevvnuqiILLQMj3a5brugn4V003RxKG0awHdcgGDTGdb
KdwDN5FdcNU7bBJxthPdc4kc2bm+EvPi91W37mb49t4X6WAfW4DrSbcmDoQisUJv7YuzK4Wz4TYc
n0q0iitNBx5k+EEOoUALuesdNh6jY16CIFddSyY/1mb3K7BNVvo9o7GRyzVOvmUlZ2LIaWLOmwok
1Du665wkO2vgzfGlnWuwF+7ED8kX2bpfsQcm4k6YBu082T1K++TK7ENZ5YD+yNAWF53NZdHPOwR1
sdNHoW9E3AAAtnJlzYuu74pYFAouLYqeJG9tMPSoJVON6o26UbRhlgDCI9HEzaZM+2HLXHu9opPU
H9y0Xb+6cEqWb6p2PDF9rQ50udltZLrRlvGt+l6rKepReEG0fBBXVgEsjPKVpU2zv5rg+SVh1a+1
yPV9kzHVx1CUqf0SKQRUSD8YxE6aV60D1mBlntqzMKn9IszW5nJYmMlH9LxFXfUbMibGBz032i8a
nP9RFs2ChJ1KuesGNATe/+42BZwfaXPE8M4yHZo609uTNX0ysmw5Q1DmX1oz7k5xzMqLNdMehnrM
DmnpZvcIZ/GNA6V7Y2pZsXPL0rptynOt+kMxjsut3isVwjaMT55njVta8RLKeJbNYc1q7VrvSr0+
WVxNNxPC6zlNOOGDDA3wyJDqNfK8/lUSbfbcqKG64m3O7opsFV97u2T3QoP+UwcN2s1NDB59JiUF
sMIkLStMh97akO7qBZ3tmldJsZZrOEWD2ghvOOXLKoJkJRLc18g3bbWRMY/HVqWHdSLgI1+L9SFa
eyrQCIjqxfVma7PUdGZFIqyjzEF0/SFf66Bz0vQD5Ho4GNjvgdmYFT3kQAnb4fK9pVLWbU/DuY2L
bNmbRu18M6Zk2Tms/ao3bmEugVXmJTqwMTMsFxZGINnFpF6ION+NE4/7um0YMhgOoGk23SdeZ8d+
rxFT6cJ6Hbx1iTErsKRQRVH+ohH4/tQj9Z1Xqt7MN2RjHmsRNUNQJpZxiHXro1v0LMSokb3j/CTL
aq3S+glcCoJeUHqUode08jzXbnplut3i+h1nq50UbwAGiss4S69T0cY3Vt0xrI7WKEbymkAbERCR
UcAYLW2zxGV1J4Vr9IepUetjZVK8+XOFm0LvWucZIWl8IpnrA0dBte5U1DFOj3PrRnpd/In6FW9L
J+lLhlYzgEcHu0U6rzdvwHHN57SV06PkqHmLZrJwg5KWHfdGpqO4ytSun+SS5p8QmFlAuGkeFoli
Hoye9Zqkpuns27SxbvqmRpjiEJ1jNDMWVaXHtbbHL14UvyO/77m13BPLgtNNgfXEB6Dbl43xoK98
zktaTccFkc3OWbqjo6KxmGtaD2VaLyboEDfJntBw+8TSa+dhLPG/a93AQu3S6w9uklJ02GvWvYP5
XuOe4YOi3TmY6Ey7JuVhynBJS0NIqDwsbXO6iyOuaSAHHq2F5eE2iqYngGtcryvJfoDp7W0uxfyU
QVGEODtsP8tLAuK7XGxkZWuP7iw3s1gwseimezd1ENXtFFPvWSp9MRZMDyOkw6Ydy/oDiC3bTYR3
bGLKrT0IkfcFEXe5iQyn+hg7c95OEJlsOgMzeWiFavZEY1GYmN0egCQ5J9WwbEGhm69kI6yn2aic
70y9MTFE9k1ttupUaDzuS7Mx3pdyIUZGpa4Jtzx2VuIvo6ZOOZI6hqUum79HkT6d1yWNVTiTsne9
OC0HyTRX7wDN5mbSOsbKzIl3UzGpWwezyxbjgbeVvZFt11TWV0PkaTsiKIvAiNgt03TzR+Gs3S2W
m2t2J/V7A+IvXAz8V25P/rZcnOzc9CDOyzCdKTpVCBgobvLRzPdRzbEO/kimFkF2rLk5Lz0dG2BF
bXg3Mo67bVH1F+w+VvK+wkxgBU2tG9uk0U6cifAkZp4mj0XDuepX7MtSgT4NKWWE16wnCXe1JeJf
u3d1uOpXuBhXHseom7FN1DhX0ZfEd4osmAHbKoxnHlLNbp5641PaU9wcVzxyDfxW5n2Mg2sY27Xl
adSJcXrwcltCfg3rld5pV1hr7XuKyeXIho7Et/QuI3ZYeVRzAFC+W6RqweRjdJE/tbb1mGdGvMf1
0FFSelE49enJsmvnmhOh39hNXJyd2BwhH2JLfUGmsc5moeFpps5cr9ueOA6/1hmd5FTWDxXs75n7
1R6ovUCf2mYZ7zIN4NtfpONeCc3odb92ytVk6iv0ENbNaMPZKPOH1XBMfNlMtF7LLCnOVodFJmCV
mn1tVVQoYJug8xSrxBIlsVPdwn7bTtAVXeT4jJTUGmRNG6+beNWheLKoTl509uue2roG7k9IDTnG
khKDlbiHKsuL65ERX47Po7gyR0fekTbKVqlZEqATpEVZfIBRGO9xPbhAJpl8HRJjOLiux3zPcVRW
BTDOWRJEJdIv83SXfKCSzP9Qq5DKNtE6uY8A4JCUbdYum5k10GgsF7dDY8PeeTkeUZKnQi3xjGBh
tc+OU+sNwaf3PZNRc+KKZJdf5hCzYk29Gd+ajf29McZ4H5WVdpjTiBDmQjvodbIXtrpeK1iF0amL
ME/j/kGfWnwfOJh2kU3uWkaeW5ALIiAvLYaUxZ43Yg2AS8qK2pCf5OjY5Xd94S1RsbY3nVn3+SCU
T4t8sW54Gmar5MVrpzxAFn/Enr/4BiGSGmWHTzs4bdu0v6Gdx3w2uWSIdk1Y6NreUqDmNCPvWmSd
MzsFL2Kt0grZ6DPc/tpX5inWac3YGIWuiOcphAtf/KxK+gNrxdZNMRmjz0LDNYxUYTFwH3syDQd+
zpGQFsebME4T/QC+CU86vxVjE3ZDsofPSkIiz2/WQWa3k1UQip3o6xX3ntjVVuSFPHpIYJyWFhek
Z1rHFLD/PqrdbCeAYIK4wWXX6AOGSaFgsbW6tHAkdxlFqbaMO2LKojsYDCMKAMwXK9C8wW1YctW3
Z2cZUhUMOe+v2+YSKlyDZLHEuBeajJ4Hwxy+sD6jToMkyWlY0t5Rp7m7UEerOY53uZ4WIFFx7T3n
opjfeiuOTh1TO3vfRrVPQWN/iad6iDc9dGEaGIz75qPOooF7p47nYuNYFqNYZhI+Dw79BbNT/gC0
Uk++1gpH32lZ3h2llD01qAvjyBi6fmF69mAtXIp67z5iOrFPHDAQ2Kp293OOKaNm8N44k7PBo4Xh
r/M2taGPn+YCtkt1qrvXkJvunh6r7Lnl6vx1cV2H4dzSpH7VRuNX7iwVKLuG9iuKZFc4s7Obsaps
bEULZwJqHdPVnPe9i0rgu3CWG2W29QknLgIDvqDpOYaWeK0wpu2U0w+ATbKTTy6Fi2BIQ6aDH6VW
9qsu/f9aV7tS3/BjVt/7H4W132lx/x+pbwIxFmXsP/5b5fof8tvVG/LbW5f07ds/inC/fd1vKpz+
s6eb9HJIaWQ/SZfByK8qnDR/dmzDwFGEf9gDEvoHFc78WTf5DwhkJuHk4rLc9TcVzrB/dgzb9vAf
UtdZsAf/Nyqc8avM9r8lXV77ogxKA5eq67DF58fcURZ0uzP0/IxUQnzM3rlQ8JQt2FTXRHyPMzZh
BH0hPSucvXFtfTceG/x4sW6cPE1qauPirfazsrOrLwXeM+96HPTL3yg785vVOIYeKoQCOQuoGUbP
BL/mMm5p8rU0r+9s/HUvGmd4/KAvuJzuSEzOO5hecmIDTrBphGJ0IiiGfGpbIKTaA4lhU1wGqIgr
DlOICSnpmQUFykKIqgwqu4xvyz42vrMtTgC1s38waGjBDk3WaPdmlmjm9ZCtYxFimxXg+spospvL
dPtMlCPubjvXO36Bdjqi2mA3be1qjK4j9iWCvLlwfvduZn6BSFmM3aShZPjIMZeBawQbMuMFwbwy
tyI9i9EyugAtJSkCM5vjNqzGTrBpIaZeEi6Ok22LLquHFMt06dOYqvQGsl8nJ3c2nxwo/7OmW0u8
XSEf8r2Gzp8dIUAHtJiLj8d3pIDqXcA4Owz8rrgzKRIXYBcxgPnZSdinbkyTH5s3khjSs9G6CWaE
uH7tDO2bDRmQ+kQxVwNEwCVnD2tI7zPUcX1P5OqFV2MCM8btbcQcvjrYec1UfMUaSgKRHov7jAzS
+KqMoykKiCnGe4gv1OoO5bKiYEyVg9gKKmivVwIg9FKG0DJSHq5C2wMKpC+tu04IcQypxquonRcv
sJXqzNBl3nZbzrMxBbB7XXkGPyV2AMcGPVQ11sbe7rHmBd2iMDToIkvqUzYXFLtI0cO4scup3Juz
2/ch6oxZURuZ/P9+tJYFE1Kiou2SZSOIxlJ1ywYTiGlsEqIFTercen7sWMiY79PZEu81+MVTAewX
OHHbflRdZMxHrjpac72IFnjxtu/n0DYqnJetPhzivOPZ0qxybQNdc8eC8XrkHBElrPfaM4Z5Tz3l
FptkjrsxxEPBJ7awqOEIPFiPvqIiOTMsSO5aJW9lmTlPXUd5FfRRox1iInDxHk1S9ztMJS9umRr3
2pB0X1f07JNnZ/uxMqFRMBe55kPUQucToKd6lre3sXR8Q8+qJhj0enlQpbV+FGgJV+PFtRXgrk2M
m3aIKbjnKoNzMMu1HverHhdXXuq1/X4WFcvX9HQsXnttbW68VOpNCJAIVBQRvVoFxMSKx2YBX/N1
s6CbdDVaEoInSvssenZEMK1dlIS402LjNCAjzX4XF+KqrQ3c61NSLTnxEui4eCeRx+BWuNqNWIPz
ohl1w6pJIAZdPXrWVuzeqyTEoZir8gO+CeEB5HYbR2J+8UZuu6ZLXbkzYBtflzzmvqkvfti4sttA
iKI6lXo+PnasKU78fMk5C3IoRyWEddvi/2h94VnpfhirYsMuOoxFKTxrsW9Y+/JkFFl3Ap2Ov9oZ
T+/N2pPye5fNinQ+aSVjtIObnbaDGSfvc61R2KUERo3ogsbA5ZE3jwoai2mFFArIlMoW6hXBlug6
J/+o7aQ9WrBMVoDcuFI3xeW3ZqxGD5OiNcc7RsZuHRaZjAOZT+NGjPF0TYCExr4w00r9Ma7y6aEm
xfuXLIRZhFjYWQzUekUDeGtG9ZGSOR+oQWAKmH/qdRpmlnCyYI24VgM2gHcvLDWTN+VoVoEnlfaV
RlSWT27aaXo4sRoOVx41VghKyYoRyWPQ/UaPZDEaWK0dIB6XZ/ICyqK/90OOjdGs0o1QWbv1hqQJ
k851NI5wStvKUHxLWsxm7whwaIaM1NMhWQX9sYHPKR+rebCQc0W9bkbRRPfFoumP8ZLxjjrmJMdN
ialzQh5M0zt9YPIAQWWOeCPh87STYAjy5owQxvuYdY7ZlbCiNXBjjhyoUavY1Ca8GgtS2uE2UlkM
a8kxF47xbPScF4qFL6xK5UrE4gvZhPFjevKWtVk5rwwV+R3vvCKPVDh3+QzqFuRLWTQBUZN1HTrL
yA9i2gnoe2NqPABWCRqb1HCeQaJRQRyUawomTYVy6FwEa8UMqeZT1it9z8W8aoehNOLDPFe1CmCc
vW5vamyU3faN7e0BM9WHM3vNSzm01Z029grfLjLVt0wAzvqVtAn6mNPBrUK+RV8E45BCLpciy/ad
jXLuK3h4AjouYyvfhUe6jUpz8OHHivSWdnShQGgt643tlDzoUEXrx6Vyu6tKh9VHoJmzDlyWo5U+
gC2qo4yL69mp1L3lJuPztFTeMVtiz4JR0db7tEDK92MX0O8qQ/F7HFfdJf0/zXgc4Upq6v3sDO6n
nMSyL6zYuMbMCfBdaVOFxIBu2DDsAL0P3VG6vqHmJLoRSzovezGktXe7uM44+hoA95Vmtd6rYy/2
XWoSkG2laqYZLe6HwlM4dxkVhlFpKDYdwLVH8ajtU5VTfg/ze1rnMHI1Z6aJlmB9BTx08yA2V/el
V4P1vauhEhIxV2+ZtmIZqBpUZH2mbeCMgYRjrdoDAu4A0TZAdi5s4AnG2VT3WlPKo9FI3dyNVulQ
2ztJmOdp6xO7EzPrI7rDH9bYy32BlzkAlGQMJiMQ2GaNWl+PTede5FqRfU2MPj47YzYFTpWs+7nQ
IU9rjwFbUk+WEVxsoLs0pi31XcPsWVUcTyfmEjF2a2fqN6VUi9wYqZLXY6O130bE3g98Jslr0i2P
msGDFe9QLBRAcVtt1VwL1EfCOyk9JD7zlrOopfKidTuIsnfeGy2pdQLycxM3Z5oeDLHYO7ON3DsB
bAFnqYzH3LHqr7bBpO3aSpvxu+PKcqI2yMzixumTNg+TdNKcrW2uGQQRSsAGfbcy9kx75/fYjL0P
hnNqfMYiUqqdUxnVR2Nbens3RaaUl2xX5A5RAJCflWfwNsb4dBdfkIj7YcU51mtPYAQ5RHqOfsZ8
lUEam24L74jePz4wvFwxlmGUf5i8rrIO1ewU6z0exHvgu6w62m0zMvfypuVukRZx1NaaXBkgUHtl
s3s9SOa237VsFQl61snV2CKSuQrMJuI2oRAnuWFtk0Phxu6xTDW1j7zJutEFU0Agxamix5yHAGNP
vvEu8xg/owb5aIU1P9mlTDas4jRDiZuQKrpynzWtjBZSOHQXLZYhd/m2lHiadxy03uOiUvExYHSu
/Vi05Q3Os+Z5mPHVpxYZFEcrW/JzZ1YyD4jnMF5MHUuHQ6123fV2vPPyMSYurGidYmcXjgC8uwjY
81LXDfG5tfjGAzIPeWS5GctHGX33Ufdmtk2UIH/mOdgitA1Mf9O8GDS/GtlNicTFTOTeFGhqKZ+b
eIgf4eJd5p4OplWdevFhavLZdrmSG/PLio8rQEvMp289y7h9oQlO4whrHDX5mzGvTgA68JBmpnHQ
TIuTv59tyzs2lus5dOTGuJ4zA50CoQTf+7WqRov8nEmTqa+JwVJ7s0ZgYKSuCsmZJ0fSRo3Sjbeq
GS7z48aaT8Pq9o/4bks7YIeL+aBSzH4hsRIxcRtZfd8uKChc++t+HVfiUzKXx3xYrsNwqzAnBIDV
9YlVANbW1KgKVC4+BYRGh70AESZp3dQ+dGm3JC/wp1jyPLOOcPPWeElRT3RcvKR03YppDtkHWfvz
wOincRKUj8KrNpbuYJXocK0O02Wi1q3EZiS5bD3fSmz7upm9/n5iQQnbl03UTN7bQ1nObQb2XmaY
pTRPc0KSRZTa6E5iZYEY/4u9M1mOG0uz9Kuk9R4yTPcCWPSiAIfPpDtHUdzASFHCPM94+v7AjIxS
yiorOxdVVtbWZrGICImk0wG/+IdzvqMo36IO5MkxYfzjuL2RW0+jMUh1UySmBuyhGcrvamZbjB14
0N7iLqA5K62V09WSIP0Qz1OQsXd1Ei6hWL6x9h9fdV6F3CRjpGpgFXKmPibzi51pNNMrY06GpLGW
mpc4MtRHClxO2ASw1RZ5a3QMkDv8yIN63hJKnh0aLVji/eCU5g1Ngx1AsoDnmpSVQW467cyGImOx
2Is5feMt6TS9Mo1hhKQjZNW5ioGfZ0gsPMhZS8d23UgTnw8zTkPkIsM7H195bnE8opzTVJ7ug1kw
gWRqVW2GKNuODH9Z5bBRvugqxZAfkHys4f2IQL3REasozGMloauivZEeTe5CFl6qv4qOB5i3dD39
K/sFk/ULEaIpjZIj56cmaDVzr3QkBW9jsA4fQ92Iw4DV61tOruqmjUSzTyuO+UU3Gshos+SsgfDh
NwX2rRwTHjtDRoGFN089dspcl+2rqdQsFa1B7KTWRM9NbGf2Bmt1lG6DJJN3S8P2+1iXeqBuWieQ
ATSoQrLRm5wEXXGYUFDqIXUN1qjpYlcIwTyU8c5H7Bj2g9GGTxgXG7ZAiXRcWM85t+5ibQ0rVnfs
sezj3IJ8QSlYHPBjV1drqNVNhTgHUM8ssswn16m9byDIuQb0J4ABRdx+T7pIdltHd7pmb3U4/2jZ
uw8i6ofL1CQwN3LUTKkryjDkIT3N6pvZjeom4zr8xAO53A8RD3iqUXk2+0jeJRVLmDwKxhu8+ydm
4qLDJ4XaDDPrQPih/N72FDypDC031ovxxG7zIdZrddcmGRXvII2vyxJ9cLtNvMexcHsZf2SQDg5t
YDB+jm3e74QKedLkrZkr1TEXLS9oKKsr7g4eoPCaXqkpyJ3j8JMPZvqm6kIgnwgEhX5hbKBuF75m
luKQskt+IOtN3UFqQzzoMNQtW2OnxYX10WeKtg+YHgOTSvdLYbMikH2abODeFtskb4yHRtPmk7XY
6uoVKk6Yp8e3vqmCjRmkeQ7gYFYnhCslXAsOyfH70sseFV+q1V4bCPvYpQhAXOhfSYaCQKnfRIow
xl8kvo25N5o92mbNT6Vh7ZKkGvdVMNPuDxUjZ9uYb6UwReOKMQOWg+7Pce2xW37MSYukPaWCRP2U
248zrIjzrDMOlm1h0hNntjdWqbrRqeR/oINods1KfeVh8lJjStHcpRT9TSs5RDuU5olXoYILdnnp
hHui2XZ1xhS7gA7jakbF8COVVfdEuVszoJjbyps+e46pCjd1K9KfthE5B9GUy/04J8s3xvryviih
AeKJJOux1s2ZBREyeEa3HJdMbnaixH6kh9UOF5m89EDZ+IUmUES6wNix0wE5bY2+DLwQN8B5yOhP
e8usX8ZGPQHeYQ2nCkvc447u9nXeTIy8TQZHapTbXlqkL3VmqC+BmlebrG+a29EAAGMWs76t1tyk
rAXlj9SSyOxZXKNaSB/DW3ys2GoDQev3xmTdEhQ1IlmzzNMsdI1Cylk2ujBQdrA6okce4nPThoo/
8DDeSkelvCNi/cxBlfh8ZOyvhVLDHw0bJNyFgSxE18LHmXyiYRerw/SIIaBlacpe0K0hJ1zs0LKl
GyYS7FuGwIkTd0a0UmTbuVt3eNjQdPamSdX5TNMOcxC135TEVh8FyHmFXmVpn5YBI6MepsbXmqyS
nZWnaFagVe4ryfVvirDzrZYFz7GeRsqQMRo3gxCCOmdJrXdkHm9S4ReZSo15QbfkP5DjBUz30/K+
XsaRcihQbjNc974ZjF+7hAdrr+XFJswiEuwF5iEvyab7qMys20pganQ72gF2UhHtjRuMIj5BUC8O
FgayH2pnXLFnj147KQsFWTBfpTlLf2L552mEEYMVGpgfKYQsg8U5yGlhNjWXi3yWei6+CVhAahvx
JAn7+GTVXbWb6Td8OEhFfBtMYn5f4sx4StNJ/Tk2vUI/4Ihrj6cazdnS3VbKnI430VBF1NRKtM+X
7HstNL31FaOd9pTe88/ITvJr2gp9Xw9D7TdqjrJVZXdv9nOxHWz8MO5M8BqV1CJCnXLYUrAJJvEy
stcZ+zv8S5jsRKHx0Puvkev+P7dW0FRN15nK/mebhc2PLIp/3Sn8+xf9da1gWUh4nVW6y9T+Dwnv
H2sF+QWqGnGsFgpew9bXhcPfxL32F9u2DLh32ue+Qf9F3Gt/MVV2DY7KTkHjO+r/ylphVQn/4gLh
l7N1S3dMU5MGqXSO/ZtHIy4ExEkH1kncrKvSeqyhNDGeeomGbrhA/3zslUa5L4wOnxsUq+rE5gBM
Gd1vis8syb7laTO8YZWKD0Hq9D5NjfAW6jgXn3BH8RyLu0mqfFixGeHoGqtrCLnhB8bC97FvgZgu
juLXyKtYNZvltXLG4JHqEsBurbVfDcSZb6WN4goFJZbdIE2vcynu0zIbTqS+w0805PhsJFL11WQJ
3BDyysahxnooS+cFzzyDqBHMapHWKHgUZdypFNMIlfV407YVTqy5flBzI1rpuyUo9M65ryYl3fR9
Vz+Yuan4bYjBLhxbgBlNJ/ag6eodEJPxK44ZOHp6kP0EiVGcB4PxoS1z5qhz2733bBMek16nqSem
Ho+yZPnOnsFC0pFPisaOMtBe0wSuhUQsjWfSds6jNo1wLhYsul6LRvDVQAtBrqMjmDzCw1W/lTTM
rhpUiGBsMm9Kl7HxjegGPO0zstNnW8naU1RzXHqGzcnmLjic/6BS//9N4z/R+WvwQRjvrbnk/3jb
+NRh+3tLo7fi4+9Ohn//2j82jtoX1UQQz3dErs92kb3iH0cD4n6LUa6qaZbG1PPPg8HQvpjS0nXH
xoVvOKwE/9w36vYX/oAFJQeHajKHEf/KwQC94beTgUUjP15YKosp2zHV9eT4xXgDk3YV0kh9FyZQ
/HdWBi/KU0Wp7MCviLcWYtadNqtUFZSAXpgukKtVlkz61jDBgI3CGs900rGXAkVg242rPaqe+qUg
dWxYPIssrE0k6+xgsUl5j+K+O6hJbMDq6aBR0+kV62TcFstBAfCdejb9yX3AR35bdDWaT1pRN6up
y5Ki51UwhIzcRIK3BO4BRbJqfoTNMHuAR/CTMkp1NjBFbTC6aOtDmxXSvHKJFKuHt6bz8Te7PPZb
lnBI9TXHcyJWQjV63V2UGM5HkksYtKKe1S2qJHNH2ak+WEscXxj41MCXdGuTG1NqubQ1DP80sL+q
gyFYhxuio/sPy9iN9OYtszVe6BhmyS63azN3sSJQm0TmAARJ9AjkqJtg2VTldbDN6h0vfH1rpurZ
XCRrFvUGBhE1rJntF6ZBw2CdFjHfRUoPGM3s1x3UjcKV20Bc7LY0nbuFVdhhhMzQbUtFZkxFlby6
qWx0W5soDeRjJyw5sXca6Cfh/90x+D81K+KqsmHEwwpjQ2WXdr+N8tmBpO006uAWQDbeFEOZIeE1
aNUTAJjJYldXfKR96S26Ih/pCupjk8wtI2JFvUE0ndUe1RjzVbtLVRAKWnqQ+WTtB5Bce3Y+wxOg
WKm5FeoJxuLLwAxO0c4s65VDqdfK9xaotQd6TMfTz0QGuOpofYU8qYNx5pBD7AQlUPKO+AHitI9Y
EtGhclfunai02EbSEu9gMRevg9DlxSrhfWaamrw3VfkNmZj1zXHIOrLyIr2Hqjpc0brI5zJmk1rF
kXou4to6A6CnIdGYA+PbOAewRs4Dvml0ZIayd5jDE2tt6neWQm/LjjmHU2Om3NEibXNXC/pbFi3p
DcwquGNZqsN7t3LtPKOmpH7TEuu5Aw6ne6BdAN/V8fwAe2065GOrXXWNxS1BO9XwZggQyDCLTAaa
bbIb0qV7HfNgPAcwGPYOCtXHVrVxAthjOV4MJWleM7ajsD6hxtQMtxVR3zroABkJETjdbEzNgmMF
+NKHcGqjDcPcyGwjnXbFAsHdK4Qcr4OUOR4ypRlxkHAp6nRiyNmGlFEuLLjytISsUox2yI9WwtRG
iVX7wnGhmS7Bl/FtEmHYtRczu9Jgdmd46uoV/a9Ni26J+cFZStTXacdm2yQR4rvq6CGoVYjOdDWJ
vh3wlPrxRFnvGpqFppFHce9hbis1fmiRXPTFKG4C9OrXthl7v6NN97tMyzbIM6a9ZY0Wj25lrO7s
agwuOASqM60cCKGqm9gMWTZIIsbCjUuucXzWk0DfWuUsoXa30wkoQLRTMRyd6fYp6PMsfxVVRtxe
x7LKYPz9VAGGYi+OcOtRa3L9XdOXcheMtQMiv24eRFFNG3CmeMwyFhlWrPHZmsc8vYUfMd7ZvTbd
zUKAMLFxgXmVY1kAO8GIWd1eqVUmK+UQIU8L1L2TiuHY0QRcAZzl15g29bkmCPoZYFdJFHwVLkgb
Sn0fLLbyYM29fkE+K57x1SuC9eyYnLoxwe0EMuIkVIdbujCMn8iFWdtqY/WMu0TbKNXUPMcRA0xG
bj0TGCtbfEOb5TYxHW2nJyk87JbAPzJH6MDNJmGX0+rhg2nlwTaKbDpGwx5ntIyFcQ5z5mpzLsXO
djqbVQaE2RCB+SFpeuelWE3JYCb7+9ppgiv/CcOogzsWj1qOJQLOdqcX9S0zsv4WT1rxjv1j2Jqa
nr8S8+m8OnaeX3sJQl+fFLQxS6pzt8vOR6xrSKLAcOI05Jz7Wp3npieyNGLVlfXHii3lZuzt5mAu
Wn6tajYASRp/15vJBiTSHqEEccbzVMuD8rUylhqQVG/dw3jzwhxYJjk94SPJFMMPZonjRjbGtOsa
XGyu1eu15st5WcfVlM+R25jjCDDckKHXNUZFtrrSeYupJivhPvQyu+ETqerFXiSxjapNuKbxgq/i
KPpYuQGKvs9Du3CtOLyZlKbZc1T72ky1lyd5vQftQChRozGDmjJ0/ohWYhSQ+ASzY0oRr7pck9yN
CDG0QZP20zbtEqgzfbL+Liyu/WZCpRM1zatK57IfQFmRogYkFT2fKsaHBnfYpmdB5Ov1KLb4Aod7
Q2nABPZh6ewnFv9kGNqSSenkkBx9j/qa+ybv26va8jyreiNliaJX77U958ep4u0puOcfc4pw7tjK
vIlaxsKYxauN1hbzSQOMR7DbspfDtOyKUc9etCn4SHloIdV+iyar3Y95RgxBoewZjbqdCfFOlMGB
3qr0Jqg194yP+qOZlOqDScYAYQJKMl0iq5g7V7cFHEeB9HaD7V8DvhrD5gSu/nMKGnnU9LJ55vNR
ny27YmKzgF8iWqL8yDvmkLZewVzUq+WtiVj8qVFxDRALuxk2Dz8c8uCBC5DznuogbOq0sd9saJK+
2dYRiPoJnX02M3tuJ21XqUt5zRhqn9s4zl+Abw/+ANlBRZgyDKCnAF7tAWujeHWk6vzMwZx6gaI4
2zFNTWTXRgNmNLTH2NfsQprEasfRgYAG5d6Cxhszr0PYiU6nVz2A8DLbQSIs76kv4uKGABCFVHQ4
46v7hwSLA4iZxd7odZ1AEoHcfgQalt0FnRH/yDlxIFyaEhnKBGejNWT8ZOR54ieUu56datrjihXZ
TmhSOv7bMvY5LrGtkeiWC+1A9Y11jlXberxXyVhet2TVfTuOF4VpdAFvdkXFH5pyKjf9hFvRVhnr
AL/Q6IlAjTdI8D/GeJp+jhWubaZ9r1Y2vMlqgFgrzLCEfRJK/EJ9t18YuHkFELazZTD0Rg4/nBYT
NlEZzJZnrXqvMePx1Kq9cWTi9KgvY35q9TH19V4hwKApWtQPFtO8qg03IhPFNsKfeUqKYrwwloGr
Bwf4oUtzbABCY3ugF/JGQqn6AO9pbPmMhrsiWgwuQ58/xqKUN7Fhh1cVnPiuXYZui1xc82SUyYcQ
wd0ZWBeOhEQHwCXMDqWLPiA4BZiJ9wAp7KHBw/SuJcPkw4EJrnnc0DyOpeU1HFFuCd0MUnPMji8L
DD+sFZbl5PPF+NDYDUXMw4W/MFzzRToorDrj0fKjQI22SWcFIdXVqBxYVJkny24GX2smc5/DTXwI
OgdneKWKm56MlD1mwHSXspd8Zk5eujgwjH0qh/EQZ0F5tZgla4zciXcDaqzEL4QDMkIdWb+phtFt
2K2HF5PpOKKPxXzmQZfx+WtsugNgdL452ukx1nJ7bwUdyahhVfy0ixSROxqIpyEt8p3s4GjWmKf3
S2qKg1PP5tZKAvVQIDlDjRI4PGrmoljda4zq6frPrdrdCbXdUqeq59RaElJKmq+48Tf1aEa3w6x8
K6CpuAaioycmotBMbaSMcUnTUkmLBaCuTkfkPoxGgyJnimAiY+mZrXoYFpXS5caQGXvhbLxXUyEf
VXMRmxk/IL/BZLnsi4J/ElUOPvGf9Gk0kb/2aYptL/Ba42g/jX3mKoZgVDIAyZkcO97qIoEHRyzL
E9q16RFPhvMy20N10eF2nnD71N/IK0DoM1DgI0PUESv1c/U4Gc6yVYUCL9xK4w1oJuVaYHmJ+NDG
KO1NroDqOUSZeUrAltKUjqJQ1BTAvMGW7KrBMhmEpyfbjpXvGCHCjQHD5IKStN2zoX7u65YNcFcJ
VnGO9qL3vXXqNNF5SY1+x+K1e0XKNtSEhA16C2TlJq/t5QDDy3qlUg93BAknLtjlt3Jg2Nr1DyYV
ijszld84jj5vxBLNd0NfnNEILed4QG8qUijhrqo1TkhXGkVym034pRBpNOIDIV4MDdkMu5USSVHo
D4pWfl30VbJfxTZA7iaSwzmwLGKWaqpdhs66vGPPM1z+iuOdOA5u5ijVf4hejT+qAGlChZTeH7tI
v0cMMzuuEkFHDaSh+qTdyBNWVGUvdILh22RB7KfbxPn4c6lOP4Z2emmjpd4WUK63ZpNnWzHVoEFD
eidZCYP12xLfMO22kSbmTWe5PZBity8JiDC1Jb4sCPm2RVTowIRzeSUBCgGfAa/jng+6c5icaTzo
pTkcltUbq8Vz+7OKOkpBgFzTY5SPQvF66gVGzHXRW56tKSUQLurs4bPkzj7Lb32txHkKU5SzWmp9
3kh9q9LLwyomDfRirJW88VnU22t9D4OPSl9NnInzgfofWnl3dtaeIF27g2ztE3r8TqYLXs6+MDLU
cB457WO+NhgrbdME/DlxgZq1BTE+u5F+bUzytUXJP7uVYG1cxgZDfC5H3bNhZIPph2zmw5xpXeez
5bE/2x/AlUW172oL+n8D6HJC7erPZpVwwVNuXCdl4xUCV36rChY3jp0U7KWH7mqy2NzNzPoWDjH6
LSRmDxW+hU2mVPeKHsf7SuENM/Ds35OfZXolW3UPX9KkuCWl8JG8lPo0RDRpZhN0+DqTvvIghGgh
ngI8nBHa7a8YaoSHVMu4OvZoPddcg9lV15YR4tfkpZ99ZLqSlaO0Y1JAk4mPHYnzZ+cpP7tQZ21I
Kw3TWL02qf3arvYa+G38aOdqbWUhT3PZ1/aWF7k2urS8zdr8ZmsbLNeG2F5bY6GE9rfCrL9NbUIy
8NpA92srzaaveAXDV+zsz04bdvy8RyPZ+Eh/4w+0x/Tk2dqe52ujPqwte7c272i+qdg+O/pmbe5x
5infl7XhTzik8wDPVzeg9UbUsE4GoGcOT/06LhDr4EDvemfzy6zuD/7FX4o+v5Zx0bX/+3+ZK87i
V529BvDCYSAuGb+h67Cdvz9Q0UMYNAm1sps72zwWaXzo9ADrx6w4vq5Tp+uOIa6q2THCJWSEPXvc
i92gW9o3QO7E7jSlFX7MmHKPeWbOJ8XW2qvNNO+FwqB8Nuzq3MegRnvVWSqKp/G+yRGpuaygU65p
YoBOteZ0T1RJSyvQoZDayFABe2bjbPW7mVeF4BJ/Ee6T4q1Z+gybCrzk0F3Wgyz9PNOSz/Nt+Tzr
zM9zD7QDpNn1MPzP37BPLNbfvWGfk0KKaVYJaLYE+JJfn0AO60mI3LO9y13rYXkxXuo35aW+H2/b
O2A9xUXJ/hk7Z70Ev/1ETTVZnOAK5qi0fvuJIwOWnAydYDdIO3jPyjbuPFT88y2S3kX3qKSrUzPX
nfRYU0TvGls4Hyty+nPRxOrpndGUw3qYuZaYHid/Qa7SeXpZWepuEYHyte0q+ShhAmFeKMpRw8pl
2anfpXOzn+qyPhv56kUjkeZAJcP5xDgFmZ1930+LvRsoPxk25Mk2M7V6O7cASDD5Lq9yTIJDOwbZ
YajBunVzpjzl8dicexyfd1EOg1Qn1mQ5QYOrHiIAiG/miHxpk43TuAHC3zybobGeX7meff28jP9t
I/31B/1J8vmfQeX5YxfHZPsfD+s3b/lb8RdG9X/ZxP3fjev/uv3ji/9Y5OlfHIJUVQ2uK7I2Kpo/
p/XqF2buEpUYrhxsaQ63498WeeoX/sRiLE92iKbbDt/ub5Qe9YuBv81xhMrBJXTjX/IHOb+fWgIL
EnxQjX9MzRbqOs7/ZVxfNUjVzEIzV4Hoz96St1YjdpV0HpOgosJJND+bkX8NSvAYhzwMFglWJNz1
zmu01o2aEp6CaIGqL3dVLLaaovjJeUmaYzcKb7Jor7F9RKP6XOvGLsUjXy1ilyzNXq28Mgp8M8P+
1lAHYzcZ+VpIDKhk9yYDfmQnd7IRt0Iau7E278xAuwXaSkjL+xRG27lyqMPrB5qZh2UielIahB+W
2EYZznbvS/Yww7lIIHoLIBuWOd5YlX3o0UBolXlbmNNzhdq86oqrFFBj53mXQQpLmg6vTvDIlJwU
xsB8bGW4b8bkksMWdaG45W6LOmuBkOImYXbXhdaelUKCdmR47RrnEZkz2ELeMmRfOyOQh1pJEVnB
r+6MTV3lZzPJ/F/uvP/g0aOtF+nXc+3zIloqHi1uJu6a3841EKh6G+Hv9rO63iDqcnMrP4djfRHz
fEHo2bpRBEF6sXylFwh9xD+DrP3eTAjWykClVCnY+rBc/q2ZIBHQLh0w0b5SoIqo4rPdN/ArM80d
mNH4JH9eOEblrg+Wa1Ivz0MRg7jRBB2jNMDeuD9mo2u2i2ykN6RGvLW0ICdMdDmTq7AnLir1IPNh
B16nKAvyW1OgFGOoQ2UMUA98HHqR0WC8gOyV9J4ALJljnGoqLTeyApVmS/8+j6uGdlruKLJ3Sxuj
TtS1r0atnwJrurGT/lTUUX0s6yo8/etn5P+dzOEf/q3/icekWM+yf3xE/lvxETVvf7k2bx8/2ujv
zsjPr/xjm2l+sSQBiMJBpoRVcQ28/1PowC3FrlDjvsa3+AvFTHO+UGhRHf+56PybexLP5apycPh2
ci3I/pVl5m+8Tc5kfgRDKc1xbClsIX/bZUpEPoMGKGKLYQq8UtTb9uNisSTciNKRF9MifnFDt0ev
pU7lluj4xM+6UGx+edv+g8831dDvLDVeBrRmB20H9hzD/nylvxzTqhhkrMyO7pcalOnUnnuQS05w
GMJcf+zT2DlPEm8LQEBGzaTklf3extXOqY7UgP8VbxUtLXcl8IFXTCq43yPsIITpwLrJwUdCvSH+
btHx5c3A4G+jJI6wQuFK8E28LndRCwwYZ0vBzJrkVaVWmNBNYcYnvknHjSGs2S9CQr7AyY4vGuMI
+M547n3QIM4J1SJ+H2rP1Ev4+3wK+0k7NIGc3kqC+7w+MW/BHSv7lXGE+7DtjDdVqNkN42fMEF2d
9Qvqufo0yc6LyQ14Zxa0fGhpIx4dbgLWqgZbjXQEkIHaMcGGlcYk5Izle2fZ7YHhfnOJzE47qqWm
byTRtkjizO4aSgOtZKHPiECMY1biSkHP6+a9DJ8QrFAgJ4gDyczT5IsGk4PkWVV/ikZH2fbggQEK
GYG7oDU/11GobPkr6g4Xh9yUY9TsW1N1zqFijAf20fB552xbzOG8qc26P8HLoF+NzdCvxrry2ScD
eu5Zpmxna2S80ZkzGzvZPYparTZOXBobK6yjB8JyxQuSzwDaIpxeg0jkfdUaC79afWVUMNO5KuMN
9J7ksR8n5es4EmyUiCbY66apuk2pIysv6U2NpRk+6jyxfZmnxR1STY7iQCo9FIG8OcahYW7gVmzb
abwxo3rPnPxk10w/wgnnxqBaF8tAhQJALtS8hTNVzwudYRAxIRb0q10KE8RtW7myyGGQyUjZFAF2
jxZZTCvba9bH0s2ioGbb0RYbEn3jvTGY0abqoH9Vadq9xMAedkXbsRkmucKbC0V5t1ij+PZQzLe5
ILfUGbmfYm6rLeyL1K+MNl//TX6ETefsSA4ImcUoeuEq2jDfhCasrywqtTt1MrRrnw/TRa1wcdTV
MKEpQhFJBsCFME8Sv/J+2VVh191lmZC7LDOXO7MLiP1aWMvmEAW9AYjzNZ3j4oIqIwRCFQsf/4Fk
0KOzKYpAlEGj170BscK+HKvqOWNMztW0sDexR/LZg/w0IE742ujkj0Q4YyyE373he5TMUGq5HyaH
pyBD+EMpOntXFKGOhH2GIVbmGANzxXH8JlSB5JGhuWkgmewb8nn8NET7u7NYx8F2sxuB94FMRo4I
yWetTeW6o0PcXuRzvk8AeR5nHpR0y5O8ELFq3A8TSNOivZ2qBVH7UIobuzTnXcKsDjWS1G5CO7o4
HDI+9chF7XMvi8jnDNWiPw2aEX+fyyb6mYfYXFZHL9rmJTjP2qheFsuoX0JO/T25bfLYsKW4KUaz
OyzFILaKZckLXnPVq4mOug8JVHvTKzs+ygQRVTf2/ffGzOp7TmabIKiyedVrRAwaM1wiCGROMBTs
/mKd58v0YJtUodz8a/xS3887sdT5uCEUkQiQtqr7bRCl4xbWg13dFghOik3fhMlNj596E7Ht2SYh
G9oII1yxcsciD9O41bHfUI0MftJgdGiQR7kZ4uCZ4EQ8amReL8iEMba6xDdynWn1O6I2Nbu/I+6M
OS9Ws+a5rSuYLloAiqxrcvAkEne0QWAfZ9q8a+e+OI5zHn2rNGQvq4uRz3W0alUZscIIAkoWejoZ
csY5qlJxtAB3m75ROT9mYrLDQ1UUtT/SHh5t8jRfzNhhpZGU5MoOHWF3BQklu4IqdWEu5VQ/4zKd
K7AuTffTagEDsgrvXhD49Shzy0sRKQh2x3ZfKKpGmjjZ0jbI28WtVhPGGtjCJlJdzG/kruANYKJQ
vph5kxEoO/MDsNscgpEIKcajxSHSgzFDlbempXd1kF2x6A/aDgmCOR1YfwzOGaCglv6Qimj7ey3J
zYewKo1p21VK9dbyUXgLAr14LrNIuSEgvYjcoOQBzcqBn5Y7y/hUQftSeEgF5nM4DC9p7iin2RZT
cEKGTbOBJEl6Auel99fgdbne/8RoGPd/TV9nR0PIBuL9n9qsi3seha19GK0kS+66ti0P5PvFD31T
UxLg9ZYboqt0cTvkTv0zzFtmtFFsya9FPRkUnfZ86ADo7+aYuS0+UfuHkzOhwFGjJvj9NXEOEnOK
XBqx+kGPhLwpJt7VNIWsMmg1ELFWqeU9kpv6W27K+t7ktH6Y87pGwqQM2xAZBYkiJGBKPG/2dGMw
ltivwAXE1NQuI25jZmHMAOkRMgajWmAlxyG9V5wB0RLrQdfEhIv+idWplzhqrX4tnSb+NgpUiG5T
xQso0SyETgfFRLwCqqyLC2r7hKFSXKx4gcxW/UxTmhbDiqPdaYWB94HW8C4axfiSYft+ghJoPJSd
lh8drYXKbDDVDzIlfCqgXx6oalIiJAa+BbXWmMDBaYZNNsUjaeR6d6K5JmDEsZU7MeslZu8e6MK4
lKTLTPqW1B1lDfkKhqcG3BIeZ9pIPMNFOt3Oaa53/kJWHFviCP4/m/dy2ifa2G/GMDwEbTm9Y1cb
N2WDMyvU8/bGMsKc2LVI84rcNDBdhbqHQ2mv56QNKs5kH6J8Wi59R0Byg2Oh8gxiA6nF7N00EX7N
oZrmxLSkQdlNpyooQIeRKtfre6udlvHYlkl0pJwp6TQJ44GjjJzKbPuISXLF832H5V67pjXWunGW
3ApLifcrYVN7z1dtRTLHu6ZfBZ+5KDYyU63TGK6Ig3IO803RNu1LFcgF8ZyYSZjUu21AMDCPIzhs
RS2YImtWxvpxCS8QLsQW+t58MDGonSWZ5yyD8RzFpluZPyL1MDXFi1T7t0Bg6DfSo269NFD+sD8P
AXFEwCDeqS/LLVsYRCrFNA9flWiur1kT47VKg4wpFLLD2zWSBhWH2stk06bOzlZwsoSgopC5Eq+S
4O/ZCTW2NxCmh/qWlOnIY8XOrLTPK3yAqjZf20nVyyP0PQG1Kh+ukYiUxh2g454wQqaPQ4+hTicE
ZieGNjskrUiuzDMNwmWqcv4xsJOxPJyyyVe7gwdWKGglNk7SWoYHuUFWSIIMOABlbkMlmNBkJIEr
MMW67Iqs6GC3U+whqx0JZ4eyuBfTaB6Wsqm2sm6Kc2H16m2CVEinvk2fpzIy9OOAwQAvnGYFeycI
aoAT7AHO/4e7M9ttHEm39QttNoJDcLiVqFmyZXlIO28I58SZDM5BPv351GfjoCq7ThX27UYDjQIq
s2RZYsQ/rPUtVN0wYM1F7nnLGHtH09iP9mh+G7rYxgJ41/i3UA+fOW0Swn0TQljCRKdR2LIUxDI3
HvM4OLe5v4VlBv2yK9UujqoYdKgkChDr0OcCrbNj0tkbRz/LPhngB0SkepAV5sUqfg6VFz/mnIrc
/n2JzVc797TGOZrD3BHVxQMogVhrFG9KpMGVC6451WJyTkFgkJnjWMPW0ezliRSNfsEULDa5aXuP
WqYWBbTH3riePJNTVBlvhrtwhuAVjPQ6YBuyy1XZbbxCNrdlch2wp71lP7TQJdZpsOhPmYFZmDnF
dxjSBENqEuRLDMcwp7qf7T1Ei/i+Bvqrqbg5Y0iFcjHBc0wPUUtRkE72yeYT2mRz7m1GV9Sviu3P
xuWiYR3fgEdMI4+NW5G8mUP70CCP2OJp7HZFbTE772huzq2M8xOB2t4dPlAM+5oeIwziBCqvg3LS
0cRHgHQ4FXXx6lrlTyPyH/sRc1huMmtpdC62aVJNByNFsdTiM6rBXq9cs18emdKU38e5HR5rqq8V
27/4nCx5smfGMR098xvQ5FVPbOcW9RRpB5jebcNJ6KWWKZyTudyaXEiwreI5YfAUx0B9hpkN6rSq
k4NO5TFBe4ad5pQvqXtBHGCeoNq0K5YEE+wHJfEdmSNR1RoQ3IQneNWN04viYdpigKyZtcxqLcA3
A2oD7BzPVLRRGzsnvx+Yw7FfP45CjZvezILQM3wwbDztp4FJIamzdWtSglYINYdCriET4nnROL5r
qfcR8a07cmqPft7vCHcNUbVi4Bn5Ts/rqZKAL9mNHLHmZOvWyvSphZMcAjes6bNqIFp30eM2g+qM
11kSTYONwAkJYt/fmY6NoIZYnNFfs1uCl+0iUYqWkvMPOgMSNlUb0ChnYnq7hN1j3ATvQipnRyS1
+YVkZjy8TVwclV6G0DTM+FIY0tnIKQCQMmbWV9/27S+ut6gbFXB26CMM6nkVQcqtlHEzxwGDwdLk
nJUSsS5w6eTc9lmC5K9ZMOCp6btpmrTQpkKj7PT1DztpJLvj/qyb7NSVEVt/EX0TmrvPntcLrN01
6i0kYgM5S+x9Vwq3+h6is8f+YAgukzsFz0Sl92EVA/REgFeFo1fZG0K4/VB66oy0yCRPvA5dAcnA
dugiRXlDBJJTJ1TtJxkC2P0NO1o7tPiHzrb2hKUZR4FTelOZU//QBz0wtSC/SYAWEonQynLah9r6
0gh9GcjuXmx/a/XuB3Thx2oS5j5P9DMQ0i2K4RuzyT3Spvu1hLYrQoe2pjT80sbBO5jm0BrTz5bB
xrpogc4gxSJtRw/lPuhh0nHNVGcnnyy+x219CHx0AVBdj7F2lpOL+X7jSb/Yl7m/c2a4NHgigF0K
kK9TX8Q7aMTPwia0wp/RF1gEn4bLSBwsX47aPQhJc0VKQ/7dtrKa/DOPmLF0qnAuD5yRCLn2cOTt
UPaF2EFPjrZ17kUnXSBZI88UraxJp7+qmsw7MxmPVr72wgWI06Et8mKXegdzSE4gHveLTYC1whr/
qpTXn4Xj2a9Y9u9ohbEPNtJiy7nDrsn0OY9mf1gzipTwoFL1ZkygFH2bFmVxmeKWS6BOYIrGZ+Vh
+4Ianc2SP0/YG/lNx75sflZathfIvQYKcV+Qx+bLo1B+2JBZsWXEpA6AqhHgojkPLdiNF5zsY8gq
QrBr5/3E9ZD3a4/QoXdkTM1hJM3wqgcEAZEYzZCMGVA+hdqMjRZbl2XiYEeCM69+txFr30by3ulw
dDA/lVggsb4YbrvtARrvprSqV9Mk+NUjDll74xRAQjWIpsQwcC5xbIeuctFbzZGPJ6a+xKlAy23+
dGygLN3iHYPgWQMCxjh+ndPiwPbz2xQPP+e4hW8qVE0hbjUah7IbN/sOj8uWa9NYT7LQYWYZSCeM
cgIMhgphBdhsz821z025R8EcTs4YTsInQyCAHglFpYo9BHh99BMdwINRyWAHGX0vDfOEbmJZUWtt
sdx9DNYUt2ttA+VruA5w5Ir5wY6Sj8G2CEOujTfIMvKxREf/CTdJ7fn3mIooWzwaiANKL7bakKie
dWBfarsJVQbv36uVe25gakCIt945wHH+ika+2eBTQ4PkzNCfzbfSc4lyR2u0hjWxpYZetypfzzVJ
ngLXEREL9SpgW0Pemg/Bo3R/5UhZ3SQ9lLleJ1P50rgp5SXxgGkz3o1TtodUFforoQ1FNb8byocV
M7PASKcIVXpBUOYzTXbHgjK9ZBGS2cDsr1NbUOrh/b8mnf2aEf619rRNimUhqBdNJkaeCWrG7tIt
yJp07aRWwSjPdB60drvQLxA2520WhSCyN1YnNm5b1+1amiOi7jPwnBOMo5THsXoeMjb6Y3WMgi7Y
pwh63SXQbdgN7POH2ixf4qbW70HVA1rEeVbQcGBT13sMI0hrFY7vTaHn+pD23bA1chcxkZlY+7wz
x2uzjPHXGBnmmicU81j3gvJvPV0thYu0+eEx53qZUto/k9L3kDAZ2lR6PGOOoKEmUn0rtOfvHVC5
9CZkKZSMW4ahVm82EJp9ns2AJFJIWRtTqWxV9SPMc6BaZ4uVG7HJSbQdvcV9XpIpXUdi0Zd6cTSz
TMttDq6bDWFr6DSsAn02cBqgRck0H5SId8qClOFZHsuQRtnp6yi188D3DCXifJ7dqDsTPLysasIH
BPdjZvkb/m5HurtjHAjcSDe1LWbgXov3XS1RB3AB8m6UPZdWnew8YNs78F/5m4GlO2xkex2QGq6y
VCDvxowWkhE2bGLueerk0WD4CvnaKtTNFSB6sJJt5sUDgSCA4hwWlcM/n6YPiHua0QGQFDeNnUsB
+zsk+N5gRFzk6k4T5zPbT9r2z16scKkzF1JeKDP+XAQmNUwqVDE8FD88Rl2Ecs7WtXIz/ZR1QPHD
/D4PD4RHAiuE1tyy4i/5IvNz59fVsbJJO9t0aQaewQA9h/d31hkA6ST/2mbku/a5Lbc1lSYFVT6Q
V8GNnC6CbVLrKcvgXJgL8xJIb8TE4c4ncuiNtwg9L1ImWo9NZ5jmSyClSX6ln4OEKeoyO+uOksyL
INuNkylIOI6JmQDGuyTQVlzvgZVwSiJk1+z5K/ZGWGl/ppe33lIwyAezd5tf+IkpHSOnO08tDVNl
2OLJqmT8aLi1vWsSlEUATCiATBeBdJxifw5HVcqzGPuwpfjDo4S0MmNKcQ5aaT0PpRUfi9myXjj4
Yce4drIbY0jSxPw1DUr90m7Y5EEqxjWlsGoloJsCE5bh7DSERMhmYBJWz1by6bucF8SqTfmrZfqX
AY4Ww8ypYuNXo6jQzs8oEPY3YZt1Elq+Hf2IirR8oQz5yIDa3XXOT9bQvVhBPobjfeA1LNO+X8jP
zamdT1oLvq6wH9e+W417XNnVp5Kpt/cVxEX4gmIz1vhBY8aDgC/y5UpEgAZyVhCxMqPD2KLs73m0
HAZ07kBLUZNmlmbqwc/tYY183wOe1L+OcwKNyGq/QI1s1m1aVrvcku7D0scpIcJd89WJ7w4ZEXnT
zpYD6JrBgQKuJI1NHL0kcDIOcGkodwYMZv5w0iRVc+Dp7Dhb3q+U8v+Ov+vDO/yLk0BLBa7LD17A
z3GZQHbR4dCb1dldouvgLVc3doOnxPPx/IyF2ta99b3C+b1qZWpfdElt3GaLfeoA7n2OBMyzOcXW
0Jv+3gU0Q9iE76znkY0p8anwecqoyA56tMw9ty6tsXVMqZpes8KUD5bJ16/yjPg4wDvY09hBnEfB
3acuJn4WU1uc7GeTQr3z+xGmFlPJzWgt3QH6uoEWVgcMMZyXRLm8XE40iNNCg0gMdwwH8lXnquXN
F2rdm/YjeEFxNj1QU34Ey970Y5riPA+YDLk5Oi99M62Wh7NF7+tNoIysKHiede+ckqp6FjxEcBZA
M49esNF98VIX2cNMeDuZN7AJNUY9WBK56SHhHBaxd6u232IRZplEIhJvvQ9GzuQJfsApqO0+YQrQ
IrebJ4J7ULdFWzNo1esMOOdHLT2mlmS3ryksFj5eCWibryGeNFVDgCcbArp6lV1QX0XXdlmW49xD
BcexUqxRAr7K2H1yu4xYHyf4dDPzVGAAw1vi7RzZUQrO9lNAXXTCNbNumzRMy/YNzvK7HGsGrZ1C
Qlujgs+fom5MQiSawXMLTX1tGXVxs0XdnhoExcAG3ORNWpm7z9uJkkZ3ddgThxsvyMGaRDkb/AjG
ruyDVTw8aXZNl3hKsmPGs/ZZ6iiN1oWnKLv7ltnLIHkCYrCO5gDUDiNxKTa+6o/x6PiQzduD6XKe
rhwJtMCfWQkSMGTkq8ybuU7KIiIpVzqCkaNb7eymDPgYSZB4E03i3AsgYk597CbfSByC4aLwBp75
j2bHyp9fe58RVWFY25rz7RLMReatDexn30FBQIB2s+kpnZbxgMQbgFlAaPldK2680PfbZM6a8g1e
BFkszNiTkIij7pFzoWt4107xFZLe+J2wUfo6hgbByFIoz+Vygv2U5kxvneFN9l36OBr67kjBM3UH
/k/JA+TzbF4tfUqZWSg7eIEP0h1Af2GCLzE4fkzCk6/Q1FE0Fh5zqiqGGMIk08FSwuqteIxJYcVi
XegAhmxc4gLz/NRRyP+99BWmdntgHUUZh1My3dJRO3tvQPRJMo+y+LNgf9ZBPo3vmVd9J1nBWPdz
/5223BhXTVpnoWis7wUFHwu3hYHVCgeff+gG4Z9GC+kb+z/+Fw6q6i4zQDlKSiHfK1BXYsW/Ft3F
sN3um11YKaG8VlQT3jTKHxkF+XYZHffgRzFGBMKQHgARYm0d2Qm37tRvVVrIp8G9O5KwNfFFaTw+
PZg89t4wopb9E471zGftw6SrQvNuY3uK5YAvVwPAQ3+0F7q9udphDVlEZrXOHITEGfCiS2+4+pnJ
WrJtMLgvcEQEvqymJAwmh1fP45eNpAG5OglRjshvdd308DIL0Rw7oyhfrT4wQ4up7N7TJHYUk5ET
7RThMFtNlr22G0S0I8AVYcf4rVqdbtko7pqJL3C8+J9VIuKt30TZlS9+s1lgoR8gzlqPYkw+g+6u
7E2paVfDNH44irTbjmCeDXSi65CMJFWqEriWIE81SohPcftyCZv5XaVh3omG6KL6gY0g3MOhMV9j
1YRYe9tdkPrLWzXCDtZx3W4Q+U6h1qa3igqwoRV4Uw1+dk8XmGw724huAx4VHir3q476ZN5kFW5M
EYztJcOwuNGMwG7YG0hwyMgmfmHZtGyTJIuepmpKt7029EdEJEOxMHTIg8h5rNq2fKtS7g7IbWLl
BUH6NEyBvRulW5TrFgQ9bCouhmUNQSE4pYwl6TryLHtJBtHfPIuFzwaGUjyuoTilJxkAPqItdcww
trmTJcLSaLH1s55zE67eMO4c8rCGnPxcNogEfNWsTu3R29xvao/GY+MFONYUggA4io140wMkBj10
gP/6sbgvZs0wS0Gl1lK90JlRpfROu/MBhl2yKRu35VykIUTRr+zfohOFSHbG7YIJrqGhmVPysqTi
qIWtAq+K3d+F3Av5xQMAc6ezbzGaz/uu7z3wXKo9qcVMt/nQiVsyWeOOJQNjzp6YB2Y3M7msKJWj
52TU7gPjSt5KxlLQayrnxGravPJbRc4GU0ZdsPfKNdu1CkP14hEykCh/OSMT9X7NUEaLHdsXekC2
bvo4tUG69p2Fbw+z1Jd4cYZHe1BXg2A1AqWaS6N79+AUxKsB2pP1Ka5ihnENiGb+QDsO20yZOUb5
+lczuWa1mlxWKl5tD0Rvuca2x/+zB6HI69WdsnYmhcLJuXOkyrn/zHFAm5tghLy5imWVvvH5fsUP
ku00QwSuLvbqqxiVOXuSKHSz7l04AJUSSIUpgZKQzVYOYzqGO+zvRAiGF6LvYg/uZsohMJK0NZ7m
RWO7xDrw0c/2fMUJzoygAeXXJzQGLWp+r5Id8WWu5LJhZ079D444vfXEVTMuzjr70Y45oftagDYN
tunE97eU86tZyPzHYpTpSxe03g82cMFZDuYxHTIbv1SLJ4VktqklyQsW8LoF7vOOSXF+rM0G0FVV
Yf/PTCMUOXjLKch6BGfE4hETlLqMgqkZvjMDpfOwGvsxtoQN6lUDaPOr8pHFvz7USRUg3oaVfsLV
yqOd9SyY8FRvqt74AI/dfg0S6g1Yn6M4MX3mtgHRkX2PGFbSJsDt3NmTmYGMlfBU6qH5wmDoI02W
b5MOCq5xt321raQ4pA1xPSuu0/TdpP/80s/EZXAKiXk/tdTp9Bod3ZQoUAfQs4RxkI4gnHX1hL9y
IfnDdx/7sgS1iVUZ+lgOfIFJXw/HIK6dbaUmNBnTKotgs0+9sZ5Jnf13g5MzltguXvvExstctWkN
gogkPb33DQuiXWL4O6PR1lPtiPGM290+9pxHN0Qexnph0h9StOtrIWMHmX4fvxOpZL82ObR4lO7g
Ve1CIOYwnHHXDff5uJG35kNmTcydBPhWFl59t54IH6lTiZjIi7kJ0mpm0D6m0AGguoRI8K2zGAqA
25WFyKdaXEuFNaD70G3cCuJ99yszU2DiNTlU0GeQM7Q5FmbLNl88ZvvrVJjBzuU0JbFrLs9GYV3l
WC3bzq3lypKL9zDDtqHf1/obMOcGBI0/3QGp0dTSIi2k/mFTu7GkDZ4tw9FXFtjuN8tPqpMxu+zV
KjEes9abl3UcF8Sn14mPB5UtI0LJ9445dI7vt10udqoxOg1pu+MqRe+SzsMj7Jgb1JD8rKm59hk0
jdCZ/De8Pgl2oSa9u7F09tqg17lOo5aA0AYnewPRxY7A8BfETemo1hiWL7iEKxxVEa4l4PiHLsl3
+HuSoyxTxpGR7x8z3FYK2lwIPdLfw1WrDswyxvWSqpInQk9H5LbLE5Jg5pst6vZ15M/Az6oW1Qeh
BV8M1775bfQaaDVdkzauQrx7OQMhbJNYiZKw1NlTwp4wRQ21d3ySMvBazKc5U0xeC1095DXsvKrN
Dzbl7BO8W+YGNFHnACMfQnxEXhflBfWeud93v1MvjpgJhmNh5BvyWDUlSxtSQId9FmnxjmXb23ZF
Geyk45SvJvkq6apnJ01SVnU0a3c4MRNAE+JIPPmm1WB14RflE/a7ok3G19qyqBYsH7r7kQ5tq3Gn
YhuTCHAHOiPrqAdkO6LBmpv3DAD0MFvkBsXsZRNHFE8c0yNUYAd/NjdHvWUnKU6DNf5Urcmsp4vR
tqZkSa1AQqsHzi25Rv81H9ETOGynY/0y9rGGFhFNe1jNyw2JZbFZ0oiRVGBWt4bi4jb1s4WlqVQw
00fI6Di6xxNo4W6dQDv55Wo7ehuJslolC00pE+moyXnywcGzXgq+VGkxY26rmRoktRHmlZXD45fJ
IZtgv5WJZz2ZqZs+2FXHoHxJinYN/7a/MhtIvhcT+2QY+BUMCgaRyB1M9zS7nfNu5pPmPFs6poZa
AmSdg3Y957pAt5WyT5BO8L2JAudIoRJ/Z0h4p1HeR1F2QxYmTXhJIzDIo9+/30dBX0SEKmsV1KL/
wDtnvTHdSD/Qpy2PzDbwuAaRsVnaIPuZGI55m7XL5iCqi5coi5INawHa+8q4U4CV94x0XmBybCRe
Oze5wV5f4rVyhuLYk//zqzbt8bniemUxM0ePTYD9Cu1EUe7LPnM2Biyn41DaNqQC7hqa50pcMXFP
H4xZ3Asrq4I8NxKj+Mo73SMbA+e5HGjAcW3lz3ltfMu6Fol8y/05FNExiTWiblu2j3GjzU+JrXBD
54wCo6oBrDpeaiAMakskNot16HJSVRnPjLdlYV28sqahDYvKU9ulZZChsmACGmGZv6zMj04odFS1
UgY8VtinQ3J1KQ62LOOiIwjGAnscHISVptWndWZawDbKuk2EJtyyAFBtjBDgpYrSZ25Xah5JL831
a+/bEm6znJL8BHFVv7oTMGsiSVg8GQVuLXBYbUiNnH8JSKRjGG1EyfvoeMzcgiKbGDsw317Q1XBE
pUa+9YTt4LfG6lIBWcc+xvau60t7HdByrgNU5mu2O/Mz07B+LyWxvdNyn70rMXS/ENfMa7+O5fPS
mMthhM665nMDDGOlwVHlhACNrOjXPKqEETuke2P/95grzC7uLWR5KV9LNtilfiDU6qlczB5lHFSJ
IYj8LWoyak7IsLuK1c1zN2pFx9zJvXAai67KNyegW+zef+E5lNwUS/WaJ/wOXAd4cFq49aEep+ih
zYYW3XyXHxOTnz9eEAqucs/x+ZWbPzlwjMsYgQzbuAVcZkJNCs6g/0IrlmWZVczbBKU/fHC//imb
OiI4MCo+in6GwJYiGX51C/YfEvXVdayi7GsedOODtFm6MKdFDIvLu+BEyqqn/7kY/uV/VYq3x9jS
snHW/P+18Lshg+3V/1EE///+1n/7hJx/oXG3A8eVtk1laPLf+786eNf/l4nbh/RLE4QYhp8/+IQQ
z5sWpGtqayTE0uUv/bcS3hL/Qhx/N4Q4loU/2/wf+YTuDpI/OkwEr+AHFDUCM5PHSO7PNiG8HSNq
eBIZe4lqYoWeav6SWK7+B4fe3Sfy55fxUe17xJJ7rsX7+u1lOhwmGcM3d+M6+fh1FIa/5eiI6Rb6
fNzFpRp3f/gU/kJab+Iu+I9XdCXPjBAiYCn+m3MlKJecUzeiszTvqjtVQltZDwZFzqry7Cos3TJ9
9lkO7/sIm94kAmPV8Le+VrNt7kQTZMfOTWxY/6O1gb+XHRlVTZcyXpazqXN1+Yef9245+P03xEdO
pjqeGyw/9w/qD0aAjGjZedIEXyMuK39MTArWQCb4/zyoWAaiQllNsedOKzjFP9paLD+Y405vc8wS
Rw41gU/DkL9WtWaIp2kB//7Hs/7ze+K7HiMjBIy2zXfybjf7w4/nBYjVM1JqNgNV3yVdTBaNoCtQ
HXRTQsmmPZCKpqpPRW+DXDMERN8YsRU/s79H5OwBR4zLx1mzOjfVQSTGk+ZCKVGk3kFtLvkLHzgk
8EpGDgGiDGG+DbGZ78q5Ube/fy/O725REQCj93iELNumrLwbU/74XnwYqVDfbLlRQ5GcZ9mCLdba
ikOt/IQ2nEP0vn+TG6Puph+VOzGHL8oqyNH/IVXWsA2eBq37Dxd6I1R8Bvplbsh3Tchn18mL1wJ7
o1odSXcxYvrDYTz0dYI/Pc4+lLwr8SL5DsDafugN0nCr+ZHUxnGv0AQe8rZwH4A1NmdUx/iBLaSW
+MtTE3xSiUaDFERvQ/TXfRM32STviOSH7xIhiZ4OTD1Q3uXSs9yBbc9pdGpLwSyMJXnQh/Wis/e/
/13+xa8S9wqHG0fR3W/4m5GmLaZMKRzpm0ra1sk2yuXHQqd1dlpb3Czd8X3FLoumnWSs6hpUURv+
/Q/w75Pjt+eGikA6tmfapu26vz3n6CW6XHaz3JhQvB9rkVfbOpvEXYm3A6n4y8gm/TjMKarkEkZA
uR/4oX+xgmy/OarpERpPpDxZ3N8HEkoKVE8MT1ZVhcSN6Ed1pQ5mb4pUVJ9iVc4/gmEynwcVsVko
tPGOhz4+Y56MITUprtg5Fvrs50O27QdX/MM3l6P9Pw4Jjob7nYSfSvIs/vmbq3zEWd79KezyZnzA
IgTKkM/WQRZet1cazGDbmCQCRWaxPLWNH5/oIgT5rz7sNnNx/FdJQM/PdorF97//HP7igPdxvfh3
cqUrcFX9+Scr4rkcC4m/ZfItubbb+lcyoj3t2Xh5evwHyMlf/Bp8J4B6KQSWKe6UP79YzQVFd97L
DQRk713Uc30/RrLHv39Lf3Ei/+lVfjsmCj9L3c5mhY9vMf0pSFAEnV4Z0Pv6at7+/Wv9xTsK8AoH
ns/57/CPv70jY5KqSXBUFr03vpm4Ypk/MWz4+1ex/sPOCVbAF4jUOMItgQfuzy9jceT6LFwogmV7
U3DZ6FexfqTjky5f6iB9hGK/tvX0465BHpLCeKRLRMW51H6IxHAOgwGBdp84NSsvNe2YwfQrqW+d
pYBPzwl22zRmXDMkB4WI9N5hLS2dT/OTyOR/8Kb+/vHgjaVR5650sBFSV92ddX+4kRbQ4Q1DMW/T
cO2siVP3V4jw43BxaVz//vf2H782XLD3iw9TFKZBDIN/fqlkiazCG8A9AD2Nj9FMoja7zfEUt1DS
7S7CkwfT+R9elFLw94cKkySPO+USBxs5T79/XBP+Eqs0p2gzFtMLCyzCQmI6kCDS07vNwoREON3d
jDg9tPH04QVVtvWm2frMYlJMepGArEeK4fneCr/ytVNKIKSy72xntcO6w7wlSj8iq/uoMWqkIKPI
j0LTgF4RHn0BIN6b9AEqFOQVrxPXwJ2QeJRkXaUzDYshQaWnAgIqaR53F1FEK9OKMzqKYutpuElB
ZIH7U+XT0CQBijq2wFwLUInXnLmH3PGfY1jEj4v7STTYj0os3WO1EP5RSRm/d7UxPBoNlEewhCCr
lozMiAZsWtt52Y5cCGbfZVNkH+QVmqEGoZGsA92NP6wiaHdO4pB+Ufa286FTy98GonxRary2/m7g
feI/M79HgMI20OJZ8hhx+dWTxHysemKXtrLJc1LjAmyDyAIBObblg9Nk+dXULuJ4K2t6HJhIb8x2
sH52NiAqJqrdNjWZPsEXIlIxMMdogwjaK8OIS+IrW/RpQygIQtqMlEfYXsTJssJtbDTa1cDycr00
yXxq7cR5ipKxWRPvtNF4TgJsDYyXl51V2HsMBQMAtJlMOCY9wa95Ip54Gl6acfiZUV2+pVadb5Fe
lJvAH7+U+J67EuB/N/T4kGAPvjVZZj+NeUtEz6zqkv9WcQdILMEqsJsnbDZvOh78y0g/uu9Vi11u
iGkYc5/ZvWkAAW/1onfmUsgrsujyB7Hq3ePQ+gLnSxL/8pE+7uK72Eg0vnrCQmK+V40qvkypvauy
voYBnmn/WteleiLPd2DPQ1C7ZJPUzEwxx/m1iJf+yY7mAXV3RgCo0c4vRhKpHTLf/MFQTbwnpNO4
5RRaD4AK7+t9C1ZtU3q8sqtY5qJbYuSEPdzxzU8jYqFNniUiiJYlXMKnh2eq7J+SofiGxmD+lt3f
4QTfakfa75V0zN1Sv+BRxklO1jyZXpfI8LpdJrIJS0tef48iM3mpoSisGkhqFOC+GfpNbh4NgJhh
3zd9uAQLuikdyyevYcGcN/USCjWbyBBa4GWi01tjdOYjOUHsEKT/E8nwRyVEhBDTrBULXSvVX7zO
q0mynxD3z4RhJTZbmAEK1MGfWE7iafvSqu4LkPSBLYo0W+AnZv8W+7m7x7VU7gJ7rjc4VSz00VN3
bkvAWW3QuvuMGda2Nfx4I21+KFO41RshU8Yl5acKlYm4rM2rGyesJumimZAp2e6GPxXvLA+qbDf+
tGWMSl4TZJ4FWAwqYWtcFAl/wIiTZ/yNPoPO0UDs7gN9JX1rY9YGiTPD/K3zZX0r2sl9lLDcVjyD
S8h6eDwUpbwuSthPQ1LymVgDS/akm4A1mt3EQ9Un2ySYpvVAuKIG0HL2ANuscpYeq3+L5mW0JK+9
nSDXt9VyEqLhDdZNt2ZDmW2l081cEMh0iDDLPruhGs5jLKeHdIkY0M71dOmlgQ5YQYtIQDJDWf9o
cIltkZxXIQMtpkaiDfMRg6omzenhzjFdzYYmMXfKhhWg3CxkoUN0bh43V/JEWOZEtHbu1i6dNztq
JGdgnLUbwECh6eWPRi+GWxyBtUQAMJC/uuDvhWpf8Y5V/mQLzaRnTq0fCAeLmxozKn2fENZd1lke
M+kFW5Ru3cfWcp2wUszecKc9mxgyZOVY6BQjdsfeALRXDZugtb5VY3NKTIl5J/9WpWSopdXo7Cbi
U3etIZ7rXJFTpMdLJcfoPA012CspVPfeL0hUVTNV0deY9mxcJVHpbedsBh+qlhZaW49zsbQ3usvj
hwHF9Lq3JhM5KglzCF8hNhpNO6AkCSpmWiTG3K3adzdJdKTswMOeZfmpto3xCi272ULoq85JXauj
dLv65rjNU5KjuyND2/hMnbb+XFqR7zC9pW8stRD9aCc9E5lpv/NT1xuWSBLrZ1rsMHYtO5RDrPRN
Izs2PlNqjxSUW2vNQMhLhXIBaynr54x2sJgJaorr8qBsmXL0S5h3bS4uxaQGMhs5vLO0fWrNX3nC
HGHlwu968XuvQj+UqKsF5/Dmxrl/Um0xE+EDTVc49oxmoY++VAS9vg/IIMkIK8ybjlHisSPjLkys
bOe0ffr1zgVi/Nw127HxvXcVC3FIk6A+ZnbMdZvMV+HmSahzO74y2ekhPQ71mU2pPPWMIs+RPUjw
jaN4sUSSPiHAsQ9tN/lnJ4jBQgZZfBlLn3/qgvGB3esPVTbs9SX4PjzrYs9XdIML75tfymRbFdSL
K6+9ny4BvjmEt4qye/Hc+dD9H+bOazeWJOvOr6IHUAzSRRpA0EVlWZoii+6Q5yZBnkOmt5E2nl5f
cgbCdM+vbgjQhW4a0z0gWSYyIvbea33LsXe26K6a4Q6v065UbnU3FSSkx83s9yFhwTAEBt+7RYRR
P/Q6lb9l2pavTMGBBArnZYkcua1RYHAzQHEmp5HIMyjQ2cFwAiaBjlti/W9d9jAH/4onVmojfhtP
dO2jkCOe91kXwbj3IDCeWpuut7GgUC1MDHjaKVn4Ud+JZjtDPz0x89enyjd++E7v3TMgIkJmFuJS
BchQdNr+dhXzb1JibG7ARVc9Vt1wFjAsPeV8VX53BdE+vpd54G6xwiFGRFx1QsNgPMVeKtHdL9OG
dtStitHQxwQIMfrad1E5oXwzl2QHPDC4m3De3vU9kVtUeNDLqgJWVOBUbrLx1NidSQeJXrzOMx/K
sjdurX5qrtAHzLfzPKvfSqYkcY9tkjxNFS9GYFj6tGcj+OXjSLrKU4x5VsLPmZEvth2qOJNpTGPs
0eABEWNfWN6tQHk35agWsYntGrpv4FUPTeXh322z8ROuFEPKDETddYxF6KAQWDQbXLHms4i4k8Bf
COBBS87rkfYPiVkuZARnatDY+EMbPTmNOfDlFwHXyKmMD0trM6tVUes2G/Iw9SZVVvFSy2B+JTe7
wEavip7wzCSJol2GlMjdtHUWnFHsjnsrx75pUwwxroqEfItbjiCvodvtWoN3CKRgiJNPzOGnqQxu
wTo0vHiCUhgX6czejY1o11AAoe/mnAYlgjnV3DVLom6zMXsoXf3heNmPoXSA2SeLddXFUXwcBv06
aLQaSsMuB98IqMbW9Q6FVrXx1+PGsDxvlabpdm0RYY4sXfT9hT/cWHZn7hNmK3sQCoxVhFchASyj
mRS4aY+CjaiPIthzuqYoYUp0Vmqpsmv0381LNevrIfqtHe/Bn6wngsPezRZz4hKTUqxemYMAXsV6
c2lHwz8qo/JCxyi9m2LEc7Ut6rTc1oYJq7wmbuVcGkD/gbPoY1kIIrC8Alhn5ssKdXPXPwqV51uz
9m1Mwo01nPMKsfZGuVK+zxOespCXMNy3kYwvxCo/RnNpHwl1r95mDOFkjEwMfmgtTZ9jFvWP0Kzb
wzLXYkdmroedfIn9DRqO5fcw+CPNV6QCsbMm01V2c+BJ9tuw7+qLH2fTcTTM+I3pFpoCsrV3sEFJ
jogDpFB5c3Fz+h0rVg/xFMaZk0c6+AuCBw4d3x/tFlMrIlu31tSsRopsA8tt+sXP4AfoSo2sfUGh
GnKNSRz0ZUpc5WQf7Lj/K2LVgzTZObRad50VlDcgKqC2pS6aJNRBJKMFBrjy1KltjFaW2FfMfx7F
vGr0PZqGzyTY1MxdPPQcdlof8JkFPNwM60UsYrKg9QUcaTiibPrd03Tcz3ZvvPMMW7vFnnCoMMO9
x4c57GYvAEsxo7vDcOaLWyOxIxLKyXi8LRLC/zouHzuZ5BVGsKIGtuQjI7Ud8xry93MxGleYm+sP
PcQp1jtQIgRA1o9aoiEcGmKjUsgXFHWBewGEavxMSA1+GFDO31oe3jF+Zfxr3Qp/lnGdPA5TiXWN
S6553eFRYYYogmdP9/2ThxMXM0af/mJjKc4MoebnySCkdJsitN2b6NN/TkuF94U8g2MSI3Qq+jQ+
mzpuL2M3Y/DNGvvUxEN/RiOxZgIj3k+bIbprLNQBTUELcXL99LrkwvaDkF8b2dCwGolj2FO7diR7
xyfVkEgsb2QoPyQIOVWMVc+hMTcTC3JVB6MCVFBP6gKG3qOdorvliMYFVk3Ru5+T2VrwVrMqvWDt
ay6tny1wBsRkWSdcdQaXPqpJJLY0ZTcr9HLfZn51xO+Z/VCq7N7azDHMnW0wONjUrTZI8Imn7Hkw
JZ43vDs7h+wEchPKksLGRy0JQIaATeFi2TKJKzyOxLpD5TUbysCku+eYzPadDX+Zp6SNGUT6y4sw
q+qZYSgkisKXmEl0RHFY9efcmy+oGz0W/5jDcOAtiE3jA0PmXx03nBwYazsGkOBGAmSUE7WVL8k2
jdMtA1duIZGVO2GLze3Z7E36lXBZ2w3/d/uraCKECXq07syxxFskuPBguxXju0yi7K2Soup2kSn7
MawrKIQPdpL0h6K1uewKvQy4iB3FzhAvaFTwHIQNKiuKKixHHOoL+By3POa2MOyXMorU12hlCBAs
GnfVlQW+EdEAqXjTdbAAfAaJa3rLtkDSMG25SQtxBzWv96+JGigQrkv5OpRzeWy0bz8U2sYzJNIW
qS5GAR8WCgwDnnbZ+DvqzOmuB8HAVqD1AEATqFKyL6u5QQVEnLCEudPsQO4s1g1d6sgIXQQpO/TP
md7IqRWnGXj8bW4H6jkdJSBVQdr41K6GOeHPX7oJNEQly5muNLjyD2k2cLmbgiNy4YTFHjON9g3g
Nv2D9FL1ldAHujW0FL956+3bEE0K7AZZkVcchWwDfDcO9r6h9LszgaDLWdXumq87aFC/cjRu6IbF
7OdjWZCiZyN7bIkbvkuRzp5rQ2Y/KS0pF72p9T8yMLA0t9m4f7SmH8Crs6frrE/8OpwmUcEwmdzm
Ta2I5QIe5isjJZ6rsUgp9NL6sRpx7EWrYXqPvemjsGhATSoJnd5heEI/85CN+irPJ1RBmhYYeisR
P5BKXTzNA/kytgFxrUl88y4n6I7GB8omrFNjpfYLJPgTrAtr1xCGTiQDWP0fpHaNx4zj6yXGb0Ho
hZ+4Ge/EVFedzvL3muvSbprq/sijGl+35GPcg+gT7oYTsPIxBuBYCvu5R947z0uEDs5LOCXnUd9m
pklhQDX8YcnWP9Fdha05zp8YxD47JZ4NSoBVeWOe7HUm79e2s3cmtlBAtsNL18TxlR80wU1G0P3n
6JVxim85Xc50tjgZSi7WWCItb0BLb9IG7VJEDXMjPoltIbeW2dqXsuSkfq1/AmE9wurgYU6chIxZ
a8XU6zGltAcqiZTBsBcoDSaAGifizdVLRAmuX7BFA9rK9fSREuubh8Sk9Hdz5IFC6OVtzx4MCUVH
27SfEVEGuT1cj8hETh0MHhhfy5vBb0HCiPd5S2GSg0xfEFOyRcwwrPRPf6APR2506YCC9Ke7NST3
VfHWr8hbQ+GP++7EjKve0V2yXzidUHgkLdaoaJFngSIMEwhhs1ORY0s19W1Sle114HYwwPu2+b0A
197JcgCQ31DrijmDr9FOMH6jCvQ+IhmeA2GSpcyVFmEoh9W0Qb4swQFb88HttDgAPcJJ3rmkOsSD
1ZyVJSqYBZ13qj0rRuGQxOZj43fuL1oZeNinzMd1SbjDSZvqoYy65N5cMQaBQFXouYN9G0VD2Ges
w8VdiNvAIboc+cZhXGvLYegKY3kzJMF1PQavk7C9lwTSEjEhXRPmvjZpzZYzbPEBX02GHs0fB3fr
c115HU03uy5lWYZcDpqdNY+4Mce23jhBMN3OAO0JuzbEsgvshGldRX118RaqYmecxuvOC9Jfcac5
gCGlhbZkipWncfVcujJ/iuNBP2Cx9V6Y19eURGlUrtGQaJ/82KjDAh8K2sCq9198AXfbbgrrsV+q
gHoWIwglUHMyNWlUjW37YTd1WUiQwliFTsVSCZy5TA8YvtWBYzoj1tkz4FQTM5Nsg4QwDRdU+U+2
0ban/JVYX4J64mpPpHN/Ygrto85WbVPuVeoND7iVjCMmyKhmN/XbibIL1v8mkJO4pMWSnVuwjlc+
mv9DUkMTmCbp3sxO1R6n3KxQ56+xB6OiBlIrliXKmvt0ru8Vmqtncj82VWf9TGv3PSATjzhhd8b6
5xLq4ia6VOii3RBP3607gI6M48R4aGpphwhh/KtymYrbVOVPVRIQtlWMyVdrWuaj1zkO7D0CQ1Ku
IDvRjo8gGEidiNzpYSon4wj/ID/PnKRwpasdeYDDQyR0/OjqsjyovnP3VkmXmYaufTtVznCQJNnu
CQYA4zex5/vEyRpxIQ7EoJ/GovMOg8MyypL+q6da+b1gdcLQNYfDQv71jOwUUGtDZFJTniClIIjv
qvzgJQRgFJEHRQ1uQoxfXydP/TDsNeNQu634jhnZ7oxF/XJUSWjyRFS9P/QdAjZQIA3RG/2xov90
cCJjwAZviHbT9LhILXnXYqPftH3ejGEn8dRmi0dYTc9oudkZbXHtIyLTjdgFWYVUSgxvZSB/I2yL
D4OAAbgQ47vB6uNeBqMLa+XeWLo/iob6ru4BTnRtckfvt2Z2UB5Q619qIY2PpAGEgVcW2MtUghRB
i3ZNA+w5DxzaCoYXMnggoCKl2TcOzYk4M0TwJDr23Vz8hhZOuJzd/SSy9oaoTKjpcVqj1UUriKyt
8S2OAwFRCdeR1DI94WNQGEGDtmw2fcUki6uHdy0FMuBOUyATOuxtahvYoW+WGU1KygkJmutnhQnw
uhxzZ2vXLkU7qTmkBKitQbAKhIcUnwoGvEe3jSv8s4mVdJtJWO7eWbL+WCxL49BrqRHbihR2KtZv
+daNYJXeI/4Dj2eHXX5rB+aTjd6PWmuk25YvqLh5bpuQWnqnffCLewYUtDK6dLlEwoke8QgjvxyC
Ojh4vnUKJEkyfmtdtZJMjw1JFtNyxImcvkdexKnoEQ6PjNussyeR6oyRo0mg8nuMoFRuTGl7mHAT
EV27BGwFBPq55kQcWpZfgtiTNjgOn3DpZWA+wnwUu4VcheT5PIcTSGAcwD2q9Jjz0CVjaN1PA7eF
6Zo+ZNOYPw69w27LvoF/LNP0NLHkSHQgqeu9NVUxvC+1Bbrcy5FDO8FQYt/n3qyo68Byz8Ve6x6K
f7uY5P1Jjnuy1ehG4EihWowAnlx80b3SKO52KMix28+9d+W5kh6+IJLPIUk50sUZgsxM/dvekURz
ArXzDkgLRas73UnO97gG/wcHGdiWeHTMaUF/iefiIrmQ3LLikreozSDfa1LnVWwAODB/d3Ie8Kha
zbEY25TpEjDOMgsOMMR+ggx6kO38ivJvJgIJOO0Wd2d7mhEixz5ARMAiOIZgRIcuzKqwTGk2xtJa
RTbm8MDZXXFC5nTJsqIpEbOv7pkekXm8KfRYfuoRdE3n2CpcoUZVlZBI4aGE9Z3RQGXiMpVqAjU9
BnXVP8cDpuY5tWlSg+s5Z+gHjCK/XQ1HOwAY5haAC00KVUcR4d2r7QtVGmgeNNGnEU/lz9TMFGYh
oJ3XuldGjCI0z7j4gvbCScqhWw4xWx6wJ/oFSxYHx8UwB5SglHnsP2V9NopKPrZTYHLRon+aGoLh
iMzeSLc2D8vIjrtmI9ymtey2YOX06+JRtZUhoyw6G4SxpHduRzISQuoLNsgo3qveXn6CNcqPA7fj
WwfayOvSapPmF2M9rkRahnW2BMbtXAgcWh4RPA16MEH4ooqjO5vW0C9qU6oQnUXndIwrGhV8fnyS
IvHMXSRN4maA4mxV1x2wpodTiePbAZ3EmGLMn8u+PXZDA3qwnF56RfarquNnBsiHhmDPY8EsaTfo
ToXGsqDaR7NMjzsT2FoYKbKvpM997aES9zHESNzktK9co/uqdHrGKYMpJl0Il+y21VTUOzefOLJp
5IcaCtA1LhpwIfAZFEIXrAZWE++RyoMwqRGjuFtHph/WYBG7PWTNdCypP1+NKqC36jrtCQN++xvL
pYEOymKBTGmHi75sg/GxkCbJEq3Z50ecEVQNqI1vYOTiv4Pz0B0GmnVBaDirUWny2s1YuSDi2vzc
exAc1dikV0xOGDnA6TrOXYBhuTOGGhYANskHPafVEeHZpLZW4ltHPzeKAtkQanprybLXjF3xF8EF
UNvQtjy6TTTSJ54bfGfaYQuT3njfE++zGdE379g3xDWZIQ0lU1s7p84anSp0EaifJ+4xV+MSxT0j
tMZhmpbMSIN1UfOw94blbKeejzwU1vCSK8z7ROn4uxTG7GHyzYxrHZANDxvZZkrkQRKIpUCS9NYt
FRxZP+QZke/StvpSNb9VlorPOp9F2HmDuMnXG++krfQBvV59tvEnh3VZZPeZ1u6RR8m+XyX9L05i
eTs/EHILi4ScbykJJNOKTIkc+q+TEerLLC+/QWbkcC0buTtH7XTNjjtjoIHXM7BLH1wbgT+YznUy
1kbmj4J2wxU5NcO2yYOERCXbfRh0kN6Cd5G/TMKWog1dPQ6PPJvt7YA9c5NMIoP8iTeRHpK9NQAi
bppc9K9dmshHk/V5SRqTpRTbPX0HXT9IlFKbmjlUyMmjthmbLA2q0TkZLeEfsFGWdOvnsnxMyyY/
DMrtf7QRe11t2Az0pwpl22YxMt5xKbBXhkUF46OJvR49dp38ctDRvsnRT+8WS7VbxokitBAqgr+w
ZeiTbx9aRgz+MS9I66vs5RpHEkdOXI98O1Pd+u9iItDJXz7j0bNvZWDfs6Do1tNNCsuiz+4TYZYD
iNZurRwcWIDnQDO6PjRUvcOhZvNMwqRT45Fl3XJ9tGmZTiQDYU1K42evNdSyHkSjsUVOv8yYNjwP
yYAObqrRRJLtld0vC2+VTc898uz+rhXlcsJJ5oXkbOJ1IYER+UyCX/eCvbh5ZHWlP/KqMV9xsxZb
11PxLhYy3kd1pO9IoijC1huoL6NlZOxMdOkrqsv+OQfXuHX8Eo9Tpk2whp1F0qrvxp8BttdtExn5
jjCJ5RE7Q3NTgaogFggziet16qqaDRICtDFajF/M7yp5CGebaBoBA2hrxUVxJZd4jWuCILWeIWSs
Fv6yV86ozzRaAL4muXjP49h9sbE0XVUUSUclEkUf1ksOUBPSPdSLXWHNw28RtNYpnazI3HjW5BZh
YqY32LHne1ZkwZXa6d5qd8x+2UFBLz2J9aPnWeO0Wah3GtK0mlXBsKVrTFpgxj9xMo5PSxwFAGq9
CraCMfbq0ZxLRRpO3cqz4VdApRezQrskpmEnqbWOuKeYoOvcuF/sBJuPcEsTHkZS7Bq3R6NiNnT1
4Dc+YZmyzklTcxEhhvOqK6yJ55lHr4kVQ0xfF89JVyIhAV3JFLS+FbV49irxaSPtfCob0T7UgxPt
RT2n6612BWel6YshuvEOkoz3BMFpfBDLSFBXdplote4tJxtec1iR99K051cMFP0uQ4hybdfQVwcv
Gl7ZVl7dvLBvF7HeD9YIUTt3iMEtlHEgZ6e8j3si4CI55r/HMVL7drKMsCtHMsEYFVxFCKyO1IYp
UYmNBTEB+Yc8FZ5qD2Pn67cybgF39BAGf+FN5z6mGkNsCu7J11kq421FPsaxdapyq+CohTGef+I/
V2lENfhsTXFzKhv4QlwLD53tkbGJIQecg2m+yqAAtODzqohETEvzQrM1vQZUa+/p2Wb8Vm/e142R
n2JwrveNR+ZrGeD7FknlX5OOgii2+pro17gzZ0YRDfOBazQ2/MV24ANniRFGKquOLVgrOizxG6k8
v1EpfZIC5YMN9fZpZO6hthBBqNzs0LT1J7BdGEsuTo+UlMDVbtbki7MlkuUm7uKbyavxKLPtzNrb
znCOwKIuBnPjZMcjGw6mAznYM0/F2DwuyjyiGAo9TOXHJYN2KMli2kimQj2xBQyy/IF2T0kWZ2yJ
o8bbXtjOcciWG6el+72AkH+g1eUcFe6+vdPH6JEbnVJMDkP202uWDrhynN2SiJ0/Wsy/nmRFxVjr
lFZ4WZuH/65rCFjkj0YAvPv4HQSqc0sJbJB8F+dwuFP1/K2Y+38dHnP4rM/v5af6H39IQfiff/zX
/z+yY7wAuY+DyPD/7AUhF+F/h8ec01/1x3v3306qeK9+qz/6Q/71m/7pDwnsf2ACwYdh2hx05nda
zD/9IYH1D4thpYsu1EL/5/nINf+VI2Pa/1gVgUHgOo7jGZaJJPFf/hD3H550eNrot0oQ+fze/6uo
hD9pH33XwBTCK6NgxmDFUPqP2keleCTqdO4OYMXsTSbLj6oh+cj2gF4mEYjUWhdfvZs2oQ7yj9pU
gKRrLvIMKTcLcPvN4BOYiWJRhrCiX0ZaR38jBP3OSPg3Cfj6En0CQumbe3wics3U+XclqD1GePjy
GGsWj9RGkOZJ0d1SgibBzdi27449n1018HQSLZYzG9j827f8X3lNVvfKf74Ah5AtPioPOtQfX4CV
m43P6KU7RPEaqKfnMWxMJjo2wSkJ22k4RBEI9qC/gvzOkWzyOv76JfxJDPv9Ebi+jSdIEtjir/kd
//4RKMhrXUEy/AG7MYEMpvc0JPKcErrz13/nz96Jf/0hlz/jwIWw7D+9VcBFqqfliGylHmssHn2w
B4H/WsOAodYAYACWrA5bhNMb+g0BLA6jukEedZHVapNAmIBoxI7eVSanHTG4xoOdmxglWH3M8+fu
NOA0PnSlkyPCYu5PlK23o3tGp2IYe4b/sd5Hg3XfioSLEtrVzdK6bypSJ6NT/hZYaHQVV8LfCKsB
t07o4+0SPevJYbWW+qkmKmnvzNN8RqX0Zdo636mx+KhE6W+LLjprP/gck/LB1t6Pv/7k/uRH4oPj
kTBo35uQUhzH/5OG2NOVUTBmw6xjEx6XzssbztGtj+YHvqsFOy+JAxgSY/A3ynJrXf1/XJwOUSu4
vPANfG8jf1waqJu8hsF1dvAVlxm/BxHl+fTiLKuxwHUoxfhWM9PrLK7rtLUZc9OY98iG3eNwsHZF
QhnvK1LMPZ4p2wTTFkQoz+p2IlmJ6X9IXeQgIyXwY/fXn5ll/edrdymLA/KrXIxqpL78YVkbQ8B0
3kuQcJlWtW2FlMhSUE/ZY/AAhaDe5V5fHPqoL8+IjpDjmKcppxO/yk+i0j39cwNyuD7IGxfJ18ZX
ZDvT/FdbD2UKHT475Wqrf/316/7P79ohrMZykWxbAXJ+To1/fxp7KxUGxReOWtHZdJvYFHwjwJ25
ftCd26BpHYhzFE5h/d3z+V98YJZjEfjsStMgfeePf3mwwO0PBDMfohF6+TgEPmLtXv2NNP1PbgXW
suPahBD4iHoDmw3nj3+lovtki7YoDsniVQeva/OrLko+/uZDdP5zW6XxEHgWsTmmg7XkT99+XXbI
bLKxOIBX+qJnyUXMVUgZ4srmLu7wkAeCpkE09rROTJ1flbL4MmOgBA1Rvlw8E84dELSmQ3cC55bY
EXLLLIKR1j7PSAHtDPI+UFw8CVR8ezwAZ2teOoqRwd/mM5q3ESHTnpyXfpfCMcTILQ/GzP4mTchG
hGMBHIYwslGJNG8M5mObbCgMHg9+3ml9BNZazNTv/K92nsXKQl+DkVNo7QPj0CRonL1lqZe5J5rB
aiZ6zH32Uer0A8HWpWTsfxXhuts4dvbVIYU9gpKH/RJURzEDSsJgFOzR/XwhW/KJeWXPRQW3FkBE
qfom67uKaR2MTfHhjqxBwgCeW93o/VgETwmLIxR9zuu2L0jdxXFKcDraVv9qInRhPszuvWCG/tHM
kMcdAWtsntER5+tUrAgy5x3XNduy5a1xhOkHDil/a7fgcGK3aMPUkj8ZzZCUConwYawnLg+p5iDW
LnjfIvsyE970GPf+Fl4wqWp9jx6TdIic03OyC2LOGCuPPhv3NDRql3OAbLMZFFnZiVcPRerWibog
DBLb32J4iWD1qWTPIwbVj0aXvWoImWGkhJtzAhdLD+nCKW9k0TxmZvDUKiZz7YDON49WVDVWYA6W
0QkLm68G1v6DCxgSxigQnjE6RF710RmqO6kBAh0qb7ULwDdRGbBZdm0G16Zw921bfNFQs1Y/4zWi
xmtd5l+FR2bOrBYFwJA3iixObnDuRTYrkEqUUHXDO+P6tEKz5QzIbQeC79AaW4CtNFTWI3OpuV/l
Jn8K6eEX8iJWLN/s4sVfEq14mBswZMe8hzkIahmOM5OvOYq/ahAhJEKxW0Oj9ymY4LCRHbFBxZeG
hS4/oOIXd0NgInoYkWajzdvrLPlw4c4dk8Xort3IezJ6sH4d19Mbl+CI3fcXw83grFwG97nJnva9
dpeJZWOAG0DuV/RI+tIPH8XbRsb2xSZP5sAc7sM3SGmGXv5h9jwa3wu3Q/JJV2vGM4LwwSzdw2L5
T03ARSahc/TPR6BkhTHBvzBcY6o/cvl08IyAmODLGtL1tiH4fXgKbKJyWUHgMNE8GTwuzVBDLLfG
5GYyCDHETpOGjc+ircEMf79wXi63mAHKSyY404KA923JQf0YggmsXw+9vm1mHjUvaW7rgODgdOS7
A8ua73QLDxot8VaWeF3SPsjCDHZsPTHdyPIo269ihE3JBiZQi0DtJXhL8z5YuuBO1y8YnPIFVs0r
kn8cTHP21bq8aiYLuBJYYGBKvvqZe7Q/shNUWcwfUDDQ+4ITpHGJLO1MujDDxIdIMcB9iHY3HTiQ
fKM0j760GM3UPtyVll2JjSrfubp5BZV98306BQZ/hFlksJemE11ZbvYFqjy6h529xzgCEYcOzK5T
VYO6wEL7GvyuCjYT22LlVly6Nkqlz0rxHNOMhWrIXpszn9/KWR46r/iA3/W9nS0VH0SCufV7UxqA
r4egEV7xgqzYAvds1S7adVBz1DvVIWXORq2efSwizULfhhZBLf2vaiJZz1E3teG1cuyg1zt/v8Np
yb/WR6JN5WU9CrCiX/qGF/b9HTRWcE5LMW2MKgJsPd0gPpTE/qzLpsJWFFkAwGuTlnjmmDeyy77y
Ji52HUIJutUsxu+dzkctGcrEf6oXyY7qaqItzWC6U/gRd7Pg+c14MneT0PyU74hjkZPx3q/fzixY
eVLXNxpsF4QmnsO50fPV906MP5WLmBsz/059zgyHa9ai/SePWAMNTxDrfKf9eU9rf73F8AUM6dDs
CW7R4I7L9FwHELR9iYQtQLQLLINP7PtcwaCKUmm9POeuvJhdtEPSupBgSZxavvBBritsBim4SRqu
6ew0+1HzVU01iw4kWYOxlWVVjuw+/shXY9P1+/52Vda9pkhBSM9k16cKqg5tzC9ssQDtv/dfxvvr
vBJmYpWb9kYEdX1sM8AW6xnXgebcxAmrWg48QB5gH9flVVst282KMtt+X4eHFGTbAPfpVkTF8ozA
sT56q6LRTrhcGXP+8b1Wqr78yPyEScn8FBlI3XJJONQ48lGvp00UsC/mPY9A1PX5LWK0fOuiyts4
Y2Hh6IRGypR02MBPbPfeqNFvuriLppRPlekH93Pp7bO2TY5FU3PgLX17Zpdsr1Mn6U+Ej9kbJUuX
FKcExqupg30+TKv6jDgS/EYOyLUJhXiUSOPYNTr+SDz0nlynnXQ/ohhjVp6qQ+DR2Uvn9Ktu61fo
qP1+prL6JRhcPRKG0lwbRN9s46Z/zHDTQQlGCErj1Hw1HBM9UonqNfds0h0GM9raNmjUuCBXhvg/
sGzxejVoxvrUyYS29FDSt9dMsJwpEqyEtkZqzLGQJ9yTW92dbTNx9p4zE64XxB+DWGHrnqXI8Yzs
0Jq02ueToa818R6bpmKzX8u82mvyLR1c/uGjL5FwYY6BKNtzKgmMmassDbFZ9ztMD0aoEABs5iJ2
uKNA0oLZz8m78ImNVveZIZHb9SN+GbOtiqOBQm5H2MepD9rXgqSlTbBOMEfbnW5hWDIgR8vMkA0p
Cwz+iD+PP6rq+WWOOfC7dcV4wzSHfTdIAgHHn3ERT5953yVHXIXRdpojpAWW+6sBLZ3FC5JYLs9A
xNm0BPikGsUlBhagr6wGQMsIpgn9AMwYATOkwWiReWelIDEzojtsNcEsjtEHGO69gM4siIvgOBr2
8dKlaHT4TuPkVkzddVqz/yL5eTaN6apzC3/jMx9hKxefjcvi8yYQTNZsWrt8EO+oL3HitqZ96rVz
ifPMQlRn3HTCzgHbs2Ua2aC2DPXF2tCmITmXPLVr5QPHFkmxZltKh/TLnOsAyTv3JxNF6LaukuXZ
7p12/YZ1OBWcQLgSoq8pEzV9br94qdrBuXa08Qo/R/G5qNcqosVR5m33K9boMziJh512vf6Q11yC
E6hjgLC4MRmrwnqTCYuNa93HHZEjtOSco2cdGqbsd2JEsjA0HT+1VvQy4HLHeCS/9emKcsiYF3sG
dF9UdLA7nBGkNbJEKZgPzjR9MEvzD3k1XhKfFRMFJSChCpK/5ihYX+foGxeT7sNBuSZlIaf1JuCa
PZjJRy7rVyOnVT1K46IYHzAG9FihiZqvTBMTWWqsQzMvvq+K6Qbz3k8KyHZvYJ++VpCknweRv2Wc
aXHvHVprCaBHsKlZU5aDpeTV+NyqUC303K7X7VRDCL1F951vR7+HEyb9JzvNPxpIc1wwmHh4c8ct
EKxZx70Gx8gNkyWXuhFBfm9N4FPn8hFZ3G60gHz2VsF7TTskKFOW3Bud2bylBp89TgL8qbl3KhxW
GGFu4kjmQ80Fi8+UwTifs+P5L7VdddexSKensiWNp8dOtbXW5lUak9mS50m4+OxrkeKek7fJfBbC
BvfvBusmXVKtjCMBFFL1qCsn7piWHhv65eCEQdEei9g8ICtSJzPIviqRfMWc9igY+x0w3nNs8zq/
T3QUfmDxue6061qNWSZnjEFUedwJKK6tXWYT7CJ4wRtnPTOrpS7KzVq16JkGEaKOfDvE3WtdcvSM
0zDdxQ2PlCUNvuyqrw492UdXC51JsPEFKjq3zx/aYSTpESW3iA1YwsQ/7wsqetJqWJNdX1c3Kd6e
MHAWCMt+YN7EDX+msFjDc2LrnyV5S7+7dEapQVufDgizAKzMMYQZVlOwRNF7MSl+S1d+GdowPnAj
EYDNqfe9+qk3d72XpVcUq180IXhXhfvgz+nBDawLST2UehEnV4aAdG1USUe3xyEOxltJ2/5/UXdu
u20r3ZZ+lUbfc6FYJIvFRve+kCjJ8tmO7Ti5IXIyz+czn74/eq2NjpX8MfbGRqP7YgHJSmJJFFk1
a84xvgFiat0DQ+7PvpQDuZucvBLc1XeNB3fO7ryKIRrjWxxg13PMMkYzMt3l4Hm2qdOdG/0Ss+JW
F2BNl51d8/KEYlOv2hRYsSFvsmYgjcFGRG5Eo4nmj64UdztbHJFd26Gw7173XsB+LXdS8PDng7/z
u/aC0koSuE5OsFAn4IUhYSAbEvF0QHHOQRwGHDTa7rmuaAomIl/2SPRTPgXfcrdkwG5l3rPUVE9O
/VHX1YPQRECPaMn2a5nRu8JgsOk+pEN4K+S0AKdzjTOZNb1PfjnU2XG4VbmB+kB3FMBd+PjayHw9
I0Hs+Y7XJAKch+7d6dSdmS5EmhqdeSmRvpyrasovJ8OkoEM7z93AGaizWEMaN5Wcr51VJU644ush
rIfOcN/r79B8mosC2fXWDtcqMCLTVnHm9Z1QB8fUNKf/eIuciYDFoMClFQgP6aQjlWRxlIc8KYeg
5ciBPSA4b/F8nCm0BITEYht/XXjp42/TnscNmKb3Tov6N00x7THMULaJdI1+7tumER7gmgixtD8k
bovTSC7RWdtQJ0UK5VkKzZppIDolxOfWO+2qlbB12gLl+O7BTAEUQxj1yUvzZJs9OXL9QdfTsMGB
4wITNsz7eIRlb+Mt+dyTCLcjJwNTipPclkM+fPAqeZityXz+8929duBO2rF8A5C2LBBEawz228vQ
y15UUTmmB3tdBNaGATgRSmgkYbvGse8I6XtvPrF+vJOXpD+K+ZDxhEDyefLxLSSeHDeDnjgsS++y
eta7OuRXeIkephZZHekcI8qdJjtDQJef/fkD/+ZpZk7AG/A03z6jrLcfOOeiWl1hdIdaU4yBRibh
kQPFO3f4by4rXWZJlDdRBc4vYyp2U+kwJesOixnbzN0BjTbJ9BkB2XXrZZ/mLnuPP3IK41m7oJ6F
SkTT3zbp7p98sLpoQsqSvDuEcdJeBB0N8xgo9ZElgVbOqB+YLoNbFGtunwq/5lM2H4YJ4w+2356U
xfj7kj39+VqfAENe3xJzROVA4rFpAp/cXJVBOKMnKp6xNPlcVqB+/i5+04QaL5vqd3gy65Tx5M6C
JeO6kFGk9tZB5NvvtpeuoYIibQ86dq8bgD0+0YvFrgzwdQuq5o05wPbIksdK5EfiLB+bNW1iiMer
XqaY4kYywYFuvMNSW6eyv7wtTzoOtzqPtnodifyEhrH0BGjSDdtD7g30aTKKZ7BYtHIESVU9Vi+0
Z5cRTbKPVldV+7bkK4IMR0sXLLTZTDSmqOPwOku5YcyOA1pZ16OJT7VLkm+qPXM6QeaYTQnSuUck
LneSGqcPo2qTh32yM7pwByo/2boLYZc4U/xsnTqmCq+zFMQI2bBDt621nq2FkEhBUTWKgGivYW1l
rWO7140tIZnm+Oc7RP56bdZJskMDX4GrVafzXLAkU8fBcE2V5LiAuz3cul04bLIxpy+GchPHK5z+
qcuxJwxImdaPSWsVnWFdUhC6tGoDdjq4v+k5zE1j5wimRKSGx6h/qUpbEHlXtCQQ7mo6oWH+7npm
/jrSch0tABpYjmIoLU52M3oZrPMNxSZFabtJiI/16akhcXabZ/SNaPFUfkmSRwOkBTmikcV7DKvV
Oxvarzc/9lmP20syuV8xRG9v/hztbjUQ3X5AgHEuRy6M5E6ApqDeeaFT+B6PNaND/FkuE15Xom56
+0pMQYJaQg04BAVdwYS6BzDgsq/drnjJlpYOB+FFSMr5QuuJaJoibXgzPXFdQQ4Raayir5IjPHZG
eenmnPdSjoBc33RXrmfGgsM7/e3LxmI2b2W04YyAs8ufb7zffWkM8BiAOq5wEC2fjKaIxdLSXKLq
ELWAJCRBY5sGE942b6k6p3yq8Zb139fz0pzSfurr6GXO9Tsr1q8LpIssgnkinCP7120ik33rViay
RWGXPywP/AOXgRfLGpS883uvJn+dYLkudjGPua9lCnAMb784CxaLFiDImV+O4T6tyjU9RR0RdKJ9
N0MAz4qCeukYckB8C2/ypXwupzK9UjnFvS3Cr5U256vMrhcYdFJvUjvlZJ6vlksILFcwud6Bnv26
j/KOnXVQTMbcKiN5+46RrwPUm3i0XIMw4rKtOt9I6UD0uIE2tLKFP4jsnaHlbwp+Xo07QnhUqPDP
Tp6kjNIBfSZhBfCZuYWx3nEQn+RlUtrTWZR39FNJ1OJE20M8jtQFDsi7154h/XZjh3UQ3EpBCyFg
UOR36UD0nGMB/y9Dc4//e1dZHDEjxbHbcrpnuVBvvfZECpODk2T8vO/cdTWLHfq16/jFln18l3Ki
2ualFZ3ZC1bHMEX9GQfWY1bjdTINhnqVqTCbMnTYR+5azAejhyyY1qTLKQ6HVwuehb5PmYGqYOaG
0jZ5UXHHy034e8zgs2Vgl6iqlhhIxP3/mWVDWTYCHgVfFs3G2++y0kscNTbLRjh30W2aM8Y0Ob7s
pYPJi8ZyyR7IITf25Ffa5nSzHb7oYqy1P/Yy2xWqIbR2pkf0utbn+CiO8RxX9EzbygFyJD+9jjZB
PsCOYloL7qCxrqOEL+HPa8d6070tYDXrK8UrihNITs7Jek9ALSNYEGQHOBU4/AEU+AAHeCTsaADC
5uVbTy/5J1sHrm+5Q/rOnrlyeE9fX9p4WtC8oDUyT/U9np5SDzZreRAZU7RSNtOtmdLv1/CtGXl6
9lNRYYOJrSg99ibPCAkxdBUM+tjx+isnLWq/F6DAwoXblL2LiRLJq76a7c/C7LETEkfR0nx9nT/Q
2jAN+nzBlEByQaTvVOs0wKHJntCUPIh87fFNazt3qeK7ph7tJ5E5fiVIjh5IunDU4uznVfOSh94L
/zH0wO/ww26T7FDgcDykLuPGP39Jv6kstKT6JujHA8vnqPUq/lR1DczqCqKUSoLqeKzW8U9uryNh
k4lQRXzUbukIVASjcpxEKjYgv+n7xE8MDzCqrWOYRfQIpxrITuzWd9m6vtXqwU6WmLl4hQO9WK01
zCJckc+HP7/7X9c90JVUFDz3gmPq6Rmp74yqzWm8HAxtr0yhdrMuFSlScxq8dKOyIH9n1fuleHa5
p6hPOZQhc2BjP9kQI5N04oZE6AOtbTTMVeduMHHTYFpnMe3r19szFBpYX1ByIBrp1zHg0JFEYJVT
v2vqBjg/YpYNUo33Fo/TjfL1zTnUtTxvq2po/fOfvkw1Ey1upJgM46jG/NLwHmbKiH6dspIq+J5+
7Tcvtz7iKJUsMK5QFt++XJNWDhaiMj2MznrXuvnlbFBQ2S33DmfH907E+rQKBqqIPd1F0YmQjWTE
k3s1agamjTgZDlEUOZdePNishQ1SXtvbM2oikWVMqUjiImTPoAw9ix2IHaZpFNd2absfRzv3bpOh
P1NWf9MqPe1q1amNPWI8Ja8FghQjrYsMMsPBG2finbsiviwsfAXBQOxgvHQF7lh+eDw0ap1d38W0
w49JX5jga7E3GKXM/WTFtnKGsaOtUcYjqAnwA8KKyCIIRnyMaQ1SuLYPRD1a52g5DCYq6Q3x8jZ5
zq6FUcjiGpIUc6lqI/GDJIVGzDl5vwwGPsVCa59I5MSPpPHVXNV2gEf7u5lCbU/GW+K7ESe1oBwG
2oagQHpqbgA+zKnXAEDrHIGqgw4s9UhXyeuC6Bg7xgXdoM3P7SKlSxZYB8ut9ZkX8x6MKgjp736o
OvsmjEAkG3SHL0gvWGj/LObn1wiqzk2ddx4067RQd8mcNFFiSQ7EyPD0ST/RQ7ruGRm7PAoKTcAO
z5iVoRopWsFkm1oqQQJ/U9V1gTN9hEOxzPZOVusXWOLx1E2nmF/01PUuuT1+nBF1IRNrr5EebtgZ
FC2lwd7NhsYjxAKJ8bop9gwR7O3aldhrazEeYMvZl97645Oyu+ki+YBvyQY8rVCSOL2165u8QCfe
6ncaTqebF7I/HiieYOoYFhpxcquzcuLlrFO9j5rl0ETQBZjE/scWz9eXcFEYgi5XpiNOLjCnMIy1
KtQIBhLidgbarwOoAj+t8K+3nVVzbeAY/PlFT4sCXpS106a44TzBsnGyQoWYexIVNS7JcS4pSyGJ
IhXaecZuKSwqi5GeYa1Zjo0giaJL23faWuZpbe9a7HPo/Cjg6afScXm7ZM2AUIdkdWD2qjKYy0Mm
q6S1YNpYX5AUp2PldfrAavdA2yE9ZLYaHv98CV4VcD8XRq/vgRY5YE+N6HcViP+8SvPYNK5sDLVP
VGr4w1y3Z7ltERudihZ2zhB725jsly+TWIJrLqR9XU6oTotOAjJK3cWPBpdc0tFO9n2+6GfRSi5l
3VLdRdU+T6PmfoSxfHTAERyrLnIv69pWl2411k8yRJWwmQoTVIDX3VqE+W4ioiXeKb6c9XD75jNS
wNpApYkMonHN3vz2M85xhzuRLXTf81RdjlYz7cGKmFsPV/T564fwIBXfCkjzly34hy2DR/Cri1j8
zEQ7slCC+Ra9iK0VQffy4Jr5RB8bPNeiPU6LfKnQYpwZg0JChuvOj0PrLl1BhlUTD+fLErXYNhXh
0c6iD2pyB6ba7Q7uQYKaQ9W7THULCh/Mb0NZGPucOEcwBQ7WnoiA4qZurzHwYw9SAxKLKLyfDdIP
VTBmt/NSPS0NoLIm6s+dEa/kQlDQJgQZdCVjt3s2yuL7n28Z65edlstJEx5NpUsrGEjU28sJVSOI
4TR4+zBt6J30RrMFoUnS/fghz+0ACI9t7pfOxF6o5mAr6XhtE0A6Z6nOiCmN6V5h4oY74PGYJcQY
XtRpKL7Uc0LAIszTC36KuhwG3ISTYRdnNJJ6mDaROqRi+LYklXfBKU9sRYdkz+lae1/Lmpy+RjZb
so6f+mzu98SBPuQ0pP10IbLtz1fAPi31WDM4c/PEWo7mATZPbqgESpiineLsAaz0NxqPwmc5jQzB
eOMBO6iWu77UZEWPk7EHaW8gxKmjC+LHyGex4wpMQ9BvcpKfH0n5Qt4R89ilS0vSsSYuei/HihtT
hSD4EMf5ouEembsyASKmk20vNFlzTX+Y5gjsqrQ/jIP1bBsmUcae+yGI4u+cdfBaMp+6yDvDPQsR
bVyF5DXedtSTuygj/tEbMo7jRVQB1566g6I3cLAZ+e0ZTHKjD7wkqXHWOz2c3907TC5smt6sfb8U
hfMUR8wouXdAvb/gNtC367OC3RkokhkO77RxXyMvTp58y7FQqNHJlZ57KmbOe3pVou9YYZFT+Qlz
6GeEZRHpjAWJnks+7S0RJNeR6qILqRsWvIbyyxy56NNQU8FrHO9MEz8OXgAhU10Fi9PuTVQ+kzon
OKMEDsdzPSRIXvm724qa0Dc87suGuCRfjjzNlO0vZYunV5aI+cx6GX6YJYkAvcUzUHEovExaoXZp
aIX7CEn84wjO456Bf+CbMhruqjhetrZEp5HaJi0uBTMwNDjaIObyIFCouw5/zJmXzqwci9df5apw
LxvcFVcjAYv46VNCJda3w8SU4EMce4+YLw2/HdhmjAgC89aRbrInGJWnsDOSaylKzMFNIT5bATRi
RMyMsyPivPZek6927NDYg+RkMXJNtYvoBVGB8kAs7zxov7lbuEnoxax69HWXfLvStEplaR6iitUN
ohwoDYDOKofNqbRL/Ps8EH9+sH99PaaKKNIpsTioO6endJUWKIOX0tlneU4BUvE0IJvzjmiO9Fm0
EMX459czfy0sObY5fDaTAy/DPG99Rz8dkjTytlqGob1Hx2Tt4hllqEkSzWWcM4gqFgDsE4TbXdiq
fVX2zVnTslyoFEpPmfPwu3iet6APAsKM+ZXXs1GJga9alPYaAkv2VFXzUSASNvd5y3LtFOvm7gAE
Ipg5u3WK8su8LiNh4QQorrnplJl9Qb9Y4w9FFZqUseGH9CYfSqhgx4Xcaig36Z4pw0tdQv1aRucl
dbMvMuK9G6Kb9rMOlgv6WnJn9hONlbJ5aBfuddNg5X/dWvGQN9tGh9EzijJrBy5quTMR+aIR4Wny
PHbJiFuQNL1MXIyd3R1Kte6meYoYvKIuSWP2mZ4Q+I1Yn1VgGQmynn7+Ch4XmdPAfb7U3OJp07Rn
qOLZeyDf+G1a1U9xnBp7rpsF3pE3VLlu6dNxWXzPiJgCzPX0z59m3O9kJhr7xgXdvSF3C2e3HOvt
hLRgM6+7bhLJ9kh+qcvDwnIRQyA4Tt20cBGn9hh1Ql+ZNQP8PuO3XhcC3XR5QouIvyJCKogiIFWl
LRF/o/nG1xq2DWRDVERFF+DeXT+m4ZjJ9WCQ0FoNZktwS6kOeJS8I/GqXLvM0YdsUY9qdr/l6HW3
aWbLI0/ncImnBprTyFMTOrM+DDUmZx1TRr8+7p7i8qE05RUMdoHKo9KJcq5/5Fkdh3a+jte7/b/a
0XlFYCZJGC/dWw/n/5OWznUySHHwrw2dF1+a4gvRt19+tm/+86/+CffSf3HyZXXzEOYQKLRW4H+b
N137L6ycDkcTk5GHdjzOXf9u3tR/2XCCBEsVb4B+O3/0j3nTNP9yXNo1uF1Mm1+gffm3//lt+h/h
j/L2760RN+yb3/83EFO3ZVx07f/67ydHJJthuKbTsY76+EnUzm/XJ9U6RuVi0t+R+nI2EzOkAkxv
Gq4E43Ej6O6GMn2pEb++s/ITM81P/mnrpl7XkLIc0F6KCTEH0LevHEaOtagl63cKH/aPgN4u3QPb
hoPkDGZ4lGKhxR+7TCk3JBou91NbTRlu6WjhAWqrF0oQ+Anp3E9k8aRaP5d6Li+ALMoSj/hs00kN
HQ9BYzvrWyaTjAF77NV7ywkg3TfQxBc1uOdG2Kl92HoIRYsZTEIGN4PNv7kZ2Zd8jhzfEgF5FGTZ
PiFEbAvkBVp6XdwTcJ1vulDslEGIUhdNNL2nJrlHD6KGzTQN1jUse/MWkVt67bbGijWcEkAAOnkI
Pc3rBfPUHiZL5Xezg0+tSi4TK2mv0opLMXmLSRLvJOYJ5EbMPx5npI1gT4dvljLsx85tyStqezO8
iV2vuXSKHKl6PAcbqWLM95UEmEc6SEIjIwmfYrjS98oZph30+8oPYcSa4Hvv8GnaflB20XMnKFAo
3G1jPy+pVVIiGvpmNNruJZjkOgMsvYbuTNJ538m5RsE+j0zq6a2LRw6PLb+U3GOrYyG6b8s6ANBi
zwBpMwnMHhXoPB600NRhlgBHAiuU9QuUkmU46nqKc/tGcOqIdjKdHbyb5IMruxWXcTsBhK+m4nYK
x7AneJhQYBZ/uAoEZxSYN4guOJR2P10OCRHF4KhIjwfPQWB3t1wUDKoe60K7PQaN1iAo3nLKJzmt
Wq5uTU5007EyDpzqvPI2lBaK98hOYfJwxuhQGRMRu2WW4XWc3Hr7jIM2E3mI5MtTnklQ4JtgDbiB
QmN2EwW5nm/4e2ONvrMwfziG64hdCM1yNziddxupERybGAzGej3EXkxiBji8dgCxr4syIeZuEGWK
ClhaxJO48EdLVIVPzgyTa7ckGGd9RWDjBiwAsyXVtLAUkVPPxyBv2cFCos+v+j7qPteF5EZKa/EM
6y/6EXRu9Y0rE9+3aeHd0EAr0k09Z4jBY7uPnoEyxESO9XFI1mdh2RtmHCjeZM+rLDIyQb6nHmP/
zLU/A/Juz9WSqGkboIwP6EgnBBVEljnvZDzJPQSQ+YMsF+u+MHVa+6MpO2rzvIZMvnjD9I0QDhWS
Cz1Wd0Ngep9bXUYfm5irt7N1UwLpzlKyMrxQPQ0dOH+3781pRzk9fcnLrn1EeIYgX8Lt+1LHSY2A
hmQ83zQb5WwVdFsBh6g2fxhtbH6Iuip/Aska3JFr6z4XfSZReltZYFC8W5DZg8SDg2QOabXrC8gz
JVqzXTv3ijkE0z1MHzROWr+1+px8zkjTaFZNRpwMx3ykC5FSyy4SnK1MTBrsrVCmaMDDM5zdZRgO
0dogAc9WoygORXaxELNtrrhOVpEURCh90Gw0buZqhpRlpjp9SmbDi4HuQlXcUuiX34SgUPeVY+Vn
S80MgsFi4s6shNLFCh3zeVS/YsKrRCe3Rp5Ft7JzHeLYcaGDfSrM8S6G4v3EVwq1mXEyWCxdqV2A
feFDCE/dtyt7JOPDye/WdshuqSjMN5Wa6merZU1nMRPzJ84a6jOLOd8oPWuiY1vXBNMPQsZgVIUa
M92EU9WBDNT5tJDiMxJv3k28UwNwLRHXM95HnXjG1hwKloUhCJzSpz81XI+dGp8y7CjQ4ZACMU8Z
PPBogn7tJ6ypg4ND0HGACtJch8AEAegq8WR/azi6etTzxGCtDQZX7wJIis8jEL7vuEwARebRSr6J
BaBjxNEk4JGqQ5kPSq2Zw6MZQGPduJaVXoO3EdFtKUD271aZ5Hk5qDA6tJnVeeez0ZNCPwNwrq6a
MkdtTdCP8WUksj3YQpFp2l0hi2DfFqDN4Ly5ADpRpOLTwcVB7hhBwvaWG6cB/QTvCd9IaeQpqRag
oQHzzs5GzQ6dYG068O2mBkg8EHqSlzu9nHvJGsctdXDFndR8dgkJQDrTuE900fNzVIjpxQLPw2Cf
U9mZimZ20LTo54+5Nln0Qh2P1/Q2dbHLU1ZqwtwV1JM0qmvGV7b7vSyU+jClEk0RA2IgelBUwPn3
bvMy90N01yirYqhNLA8CHm+81vlo4v+ukIGQgPGxKMM190CX8TZx2XYwdobkbhc0eWQB4c2lf4+3
gBwI3vkXRt3X/RgBOqBhO28WCqmvpNln13bQtyMWnqAEK2OtYz9ZIRI5C8JZjBvk8MEX/FUIdXqk
2fNlqUjBJdV4iD4KaxJ80TpbPWDTRHBvZfLZsGrMz9ZiqQeW3+p2aqQ6hAJLfcn+fKlkOMGvz2T2
KcfEYW2It3bVJhSKYOchcWOxlb1ZI8xFRMNjiFf789g73S0RE8N1MAXyVrgtyQrzaGw13bJHhwfp
GzCYANIkYGRMOdlBQmLDWlECndw0RBh8X6DFVVunbl2k4BC8AD+3GNBiu+4/lKXZH3sh0+yyBjf1
yemj6GVJgzzamlENpsuEmcuFSyKGUkgfJmkfUbcTuFBi7X2ezUp9YXeJ7+DlRBPLVpWT7CX7Zsmw
MVZkyGzqNnVvRMCWvwXDZE+wewqmRYbV2LDqesefrKzlIcCKMbVG8qWWXnANw+EjsO/ILxrCu6LE
LOkXt3O0pzAgZ5mpqDtczJGtwDBZ0bitZydT2zygMUFzk2iNnCth5swxd31lrC00qb/VsrMuCuQW
zoYzbNhsA2yoZyC81SW9xU+1CurHdLLsrzqVXkaSGrfZzpMt0SGmpEjY2L3bvTAXgkxe9+7Q7+zY
0ffCUmGw7wdrnoEghsCdIyzaPJ1WL8PNSGOYm2bIe0I8dJJGALMno7zA0Wt/HLuaOyqHqk4hlNls
+uDMzppMtAQ6LJrtkg3efGlSILWs01n4HDc4SLZGb083KiaywhdzPuyimAxT3G50Vi/TKZ/P4zo2
vgZx0+tNTFRQCt9Siy2Due6zVROyscn62Pgc0tdUeILm5At9RlYBT+bluDGRsX8odEWsQzhU1Ca2
udA/wlTFZmyg0z7OgWV5G24B+lhpkszh1Qyp5V4UGf1k0taRT8ZLVjfbHjrXsVPS/U50G60DDp7Q
vjO/qRkbW52p9g5DxI/jhITIMZBzbDBOmpuU2IDNIOYGDPuksTsUpKxtOtP4Npth9UmQc985pHzb
BjYjzvWYtHW+t2NSN0iOw4y5VLxYFcqbPtHQVpUT+bkF+MVwZj+Pp+Is9ByOw3Oi7Tu8DMZuzAu9
l22T7VwvsNlyh+B2Dhwkey74OzpF+TdvkeZH7kTrZYzbZMcQAzliU7rerds3zWUSTSNhWEnm3i8m
fIed6LzogzGb+ZXsR64fD8XTZI8sVxkOuOKg22T+GNi6fWibjmFfvDjT7PcqhFRjzlX/Aqqt/4aS
hHDVEkZGvi2tAMNXzunmxdLtQMcFYNKDXc0lW2wrbXh/1ryh3YLTK5TchXQ0xiLyzX4eX2Lm1n61
1PmHcWFRwRkXVL0P5w2Sa1CEEUVlh7bprIdKo/05neZzmxuRojfLB84B7LQipVu3cWxAZGxjRZ1d
51TzOc3wZBDMYrKGLHYVf6jS2rgv5wXyrwtBmhCORW9FTSTiKGlnll5COq1T96PAOqVIvsiCgf1+
jskFcCPlPZTBsID0CGYqQTbKrCa/b8hsvzTrDBgVHF4szVVNhWTYM5fWtctHs8vzPUmnKVHAaSUu
pmWKhl3XFl4Lq7TNPs699lqkQH30I3VDKMG1G1AVgVihRDSRwHabcJTlk+it7GFshf4uCZ44Y840
VUdS/IrngpNxSTxNk9DKKkOx5xjr3ODunc0N5vzM24D6Ni+8cKA89ApvJj+GWbblk61uszjYJjYd
uyzru4aUtGHboYABeUzGl6+Yd4Tb1m7ErXTj2mRE35DuPje2eHCLxoLTm/0olmxyNykQTXhzphvQ
Hs2NJDxzVGieI4pyrstuoISMutHT53GuxTleTW64gCf/2CVOc9sCPAPWmdqEAtkOx7xhqpJDjEzr
OOqQxBKjTL5jFhFYQN3YvOCU7NyR8nFhaqADI17MXMrleopSUkYwKXQcvnalNcLqsrNDXIIblWYo
N6NUNy0PwE1MQDQI8w5yy6o2K9Ha+U05tNFmdjvke/PCwWIhq4PMO/rfwyiIZWviQ1Gbxd1od/kt
7BfiCE2qRuJz5ibgZWY7uywZ8O0MOJwbd54oLqZE3VgefXTgg2fkbDEEor4M23S8RTAmnkSR4xG1
BVKHvGk/FoQcbLtYqvtBab3zqmTeO8V040bGNPq47BWxMnTCwXvYAfWJRIrsGN4K0ajjC+RqI0jJ
WC870WTFNcEF3vkyALTfloFHKAaL9w/d4r2jvflCsE96Gw5A3rqh8D6VaKjO3Uhaz7JW4XfNBrqF
VcThLCv5K3YPALaKceTu+ImpcbsoCD7QYCpQp0PUVg9504kzWQe6gj48mw9WHoEWDTCSDp5Rnbkq
Gh5RTKefg14sI26r2XgZerdoP1spxyAKgHiQ+yLQgsF7ko7ETNty8rs1Z+sY91X23UBTfjmTGxbj
wfDYwJLJFFQD1ZyO+2ygmkwT7d2RAa8ZPui63+ObHzjjiMpCDwS7mRmaSaWAopc9s9JIGIG9wynZ
6NEaU58aqT2vXpedjrf2iVkqjFLCMgMBzcPgphiEXJwzJ+eYgPLEInqHSSZE2crtoUlbhak+dyQw
/Kgw7+CllUwqfN1q7+ihVfLwzoI+hqESUUTjYFI/NM4+JBLMBduxHa9JBl8ASYuIwrQ3E7j8uU2w
qB3WMbk0Ngip3rLu7U4M+S7UgiUx0MCvkZjjQayqljFFnLuzc4hhE2ILz4oBusYgxWXfVECWkaiv
nPGomfelMXXfIBQyuvu/2/qkX/etRAQe0734t/+PkHeW0OsQ5V/3Rz/ENN7zn5uj//yTv5ujWv/l
4QtBnIDwhux21/n35ih/ItYhLGJK13z9//+0RqX+y5SrjsRilaaz6jKc/ac1Kt2/QOhIQXaxTYvE
Jrb9pBX6p9ao+bY3qjzHtnhXtFrJ/RKafuzbDmVAbE0xFlKe2bifzpcGk3ZYxlcE5FTnhNe6sEeW
yrejttyNVTg9xitYChext6lFx17vYdTI5aC/JVD4fVQ27n3BceNYciC+yt0peq+n+qaj+uv7PZla
O4R7dzEBQ2ipspE59MrGlQKEVcG8qMLcIGtPXHm5CP6++/9lE/lv7eP/aeb++tJrs/enMVel7Lxq
KmvGHQYRfJk459F90vulnkoy2wzGSB5RwL3Z5JtUOjfTgP1A1V7uM9TFVsrQ72xeYJeXxphv4O1z
Lm+iGxoA/VFWXD1lTTeZFYRXAV7dbexCcieBSZwxeLqvBmrALH5ME+HQkqVHwm6f6eE5pQxleFSP
NRnteXmIEBp8GCwRXqYtXuE0m+IdDp78PPdEeeX04I6bYhk/RaBSfNNA/RybGX3OfKmZS5KjWHyb
h0gcMxJOURwaayLHQMyfKR7tsZyO7lCMh8zCoB9MYbznQPwtabyW1IBS9s8svOIQkTmyX8rCpf8F
/L2JHICwMnl0VEAE/XhXJxUAodEfM+PZpmK6AMaWn8+J97FdpHHA937RzLbw50ghfl/CK7rQ8YpA
tnw9U7Q78FStsco2g3a/dDlalWFEm4r56BxGkbGRw3wzkaW7b+u0Q7IPp8GIrO68GqYJuFEg/SCD
FBIs1n5q4FCE5UNmT+fBMgdUfpU/oO0muxVEen2uyHSmBhP1PkltKtqQENR4kQMxnWRtonGoN8U0
p34+i3LHB6NlFEP+dRolPo9hE+5UOBIB4ZjdjIQ/vgNLZp3z1GAw7i8CRqUwzuWwHiMfJtSIdzhA
On/KqV0qBSbBHmkRRcaDWUzEJje4URuP74Q80OjG65luDRaMKNJIdlDnzV2rVXDUhRKHLo6Co21X
eqtlGe3qUrFrxDQPvb6K/QHY24Mx1eeIVsjuQ9kI7e+4WI3lZ1Gc7eKOu3kiOW1P4xivmEY6beGI
vRjDSGzRPpCwNuRfbbd46NKOLpx0DjWCXA8iDPJ1v1U9Fq+Ma+mMNq2fdEAhSvYBM193W6DHpGG+
2rH7yh89DvyDx97Lt4n2JDgo56koIO401qw3kVNlvpX1CYMaQ2+DjJjXom6opkH51dl4z9RTXBgh
qk01UkpN8PBoAHbuxVxW6YfEMtGtuO5hGu0PaelMOC+BkcN8h33TJ9dIViWATFcSgtV3JOBgaJsN
eQBJcXAkJzVbhfe9nDgv5t5FSF1b5/o+1n1Ma3l66Cbo6xVQgi66HmqzOiO11B/dYTe1T5xIb9za
JJWGZNsoqvSjrFOAz663K0T/JaWO2KqwuWpS6c958cD0ZCfBK5Gz+02YxY6oUKz2LhSjWmK5aC37
2ptVROT0QG53fReP3rnRmDeTG54n0NCRTNQcUIN5dvdhABSbzI6y/brOp7juhfgwtbCpZSbvDTTG
+yDmPFSsreqBRhE0oIbGmJws70uUxfyej4UqrCUkJsP+vx37HgQCFPC9mgm4hYieMQa3CigucXGU
qTQ2FR1Ev8FFfacDYPvZkAJEEHV/lgH5OLdYF/83deexJLmxbdlfedZz0ACHHvQkdERqnVkTWJaC
cgh3wKG+vleQt9lVeatZdifPugfkhKxCQDmOn7P32hgC7KcqzwWbMnDttL3Mo4bJiNDKIyE9tez9
iB78IGWYz6uxDu1LQqjsYwyg7F4llbkdjdse8oaWZkIc+kEW9NLYvOEulNpG3pvctPN80oKkWT8o
Hwli6k9l0vN9KL1nqv9sq1saxgzAiFkUNfo10eprQYTW2o7I9ek9Wa6EBupQlMuyioE6HdOQdKjC
0jaBhnm+De0hYbHr/Neqtk5hQqbuOXsF3WBxqEe0r7j5l4MewwVyRfM9TKH693m/Zz6JE34oywMO
hzfX0h4NneQuzN2a7ldi7aZuog04sI2EOe/AiSZSZtH+/Q+lyb+Goz8OQ93zzPHDZwxfMN99eD1I
CcMPKtWogStNWLlz4A0OIY94wkLt1qkVwrZwwwjP2rAjLB/6pe0PZW2p6+T8dgE/IKynSNRFjDCL
BkDzGuSFvivHLN7QtmXlS+ksXZMjR6ajY+cbkIXpIccQfBDT1MFtmlkYavuklR0dIJh+r4PQWll9
1yB7q+74HdY27SVT6L9LsV+cL8XVP57uh+Fv4Uny2koQYJbfJfednlxwflFHN9Va/iPlzZ8FQoQK
F10d//Iwlf5cIDgIvaue0cchN+H3PiQke/a9T0iq6o3229/omd1zZfZv9/GHo1Gi/liOWGRdDVNT
iAOq61t6LO4LGzNzLMb0q5NrBXy27G+RhGanqBfLAc6cuxEYDGgpp/1VXJhDwZ3cdDya2HInRlqG
EUbCC59OdFnynFtY+mdIClv5jZib+tZmCAYAXE9rOTn8bU2Rr0hKuZzOH2p1/mR7fLv/8/t31r5B
CnAwfn70VjuWB8OjhB2OTueOcNfggOMU6lfm/+ZAH5TMf92+H4/0oRQu+6lmyJW6h4FJzMFL4m8k
W+AIJmlqzUThcyDO2Xq+B9n5XCm04dhs/vlcz7fswy2l4ncCtA8oFnjzfr6lWNMC2+I7cgiUz5ia
TOF15QqAnjTdb/PBEhI/qCx/89j+6sR/OuyHmlr0DYsbZMqD5fksA9r/GoJy3pAXVILVsa1TPQOj
sTp9K89VTjgim/jnE//lT+Amn0Vk0dmz/2FRkjZSo7bKGcLmjMs7Pom5312RL0WyB8TSFey1G7zQ
1Jtu8IlVX+3++Qf8LJr7897HPx7/wyphRmhxTp16h16aT26XT9d9nbinSpGcMVvpb6wYP8tC/joa
YhnMJ7Bd0MZ8ONtszAFhIUU7EBBSXDr0usmDTvrfCPN+sfKdBYd/H+XDOXX0yBGoNqQl09VnZNc4
K9Lmt30VtL+5fb860vlUGAH7Zx3Qx4WvjaFGLoF9WJJxXI0RUSsIDnlvf3NGv3xMfjzQhzWP/QeC
Bak93s42/JaP/U2BN2JPZgwj+tm4D2UKuwWNAOWxOhfKgmHtb/S4v9gye7YNjhfsL5x19u4/v6UJ
nXdF0qB7IPy2PSyjHh5b4Tmk5E3uoXWnJxJSCEYf0rORDSu5gsK+Ds+t5LCy3i3SCbZtQxDQubqo
L8q0egm0K2/JVn4uiHT8zYb5rKL6sKggdQd0iWn+/Iv9D4+BxdifyDbNT0vNRY0KZ+VkNp7mRZ6H
fsvVFAfTtjWk+XUZUIMxRx/kUo7kU0n57tdyO1R8OvRQE1RKdELROJsKEwRAH3QLbCK+t+2Ykm5T
UcK53oUTDsRRV6Q3DXMUrMk17bft0lBbtQkkQvlN5ICA5hHRiR1gOOu67q8S579No/f/a6MKzLbH
2v13dbRBtPdf32qKy/kcL/E//8f9e/He9dl7/WOv6l9/6m8hH+VpiKMHLw+kJN70v3R8QfyHx9dX
BP7ZhuLhGPhbx+fafxA4hVYvPvuraUnxn/53s8r9g0oIPATOJAT9AA/+k2ZVFPxcu+JYoFEV2rTQ
4jh0Q4AQP796jd2C16Ni3NlVUMm9lUxdcoWHge1YFzfBsY5SXiCM+12wj4uC6aIK8LlvKkAc1x32
t5RmVRqReFu6u9GdXLYMcQkCbW61RIgMknKNFpi0swJcs7mMEdfzlrvoWBSfvf2skXys4L0tW4R3
1kjv2UuuDJgUvcmrOjhmcdcyBDZV1e6B0pZvSz6xKyWuZkpRsRIvtyqbaiD3rE7SS4aNwWdY0aQj
hvG4n4Y4ul0wS1wpVFtbwNcl23WCZltlyvtBtIq9mm29z/UkqydbJsHnisDfV2FSxsuzMEW1qkgn
zegbdOnXwQ6LFxkRxUavTqCLacewjPYkJk8PnW0bBhu+FoCvlXkjjJGKZpmnNzqSbEPG2m6vc9Kg
7U1VOwXym7qngV0KwehQ9hYGr4DmDu94RT7aatAOmh2A5O1NpR0FBd8x8VvbOG76buO0RuTYzFa5
HUtFY0B5Wl/Dx/Lfot4BT9mz6UMwErOd6joXZjKKD4MFgSwr9yIa5g5mYc2I5cgnGv9RX5sXY/pC
rkTfd5wAYuEWAippQ6qADOL2prxcoLjdylx7XzM4Yk+A6egNQsBbILpOqj61TBEbZgQjYkESvp+r
rpb7YYmYUFe+YWhRQwKVWHmM/5yZtH9Wqi3TDfgc0mTU4jX3TpAWassvmJ6HsZe3dauyu9KBBrtL
5j4+ZKh69q49pa9FOoW+A4ovDyMIDYbVNArN8mL6dtB0mEaHHVgOPW1nrGwWlGFD8e53A6O0uMFS
wZLa1rS99BkIPDuDtaps237s1FAQRR4F4Mcdr1CYxpuuT1b9zIQY+F7UPRN3RwqRkeP0hhA+uizy
OKami3VitkOfVC0P7EwfoiuDMV7hkK3d/Vg1Wu3ZXrvttlcV5lybEdLeQ0N22VWeuEPFEtGH7PxV
jMSGBOP6zBCPh2q5TYrelfeAnegZ0Rk+5Cpwb51s6S+mwc70XsI8ZPqJ9vatFqa8CEO6OhunIai4
7cGROTXbsp02NOvyZCYL3Z7OU2+/Hrdx3QRvcVo4EQqG3EESYqwUxfcAnZqQWIjdgRL6GLn0ZXcN
TrId4ntaOuNiuTM6pD6994gDI4gT1O6rPebqpbBl9DmArX4RjgOCS4IXIzKjZgKdm+gFNGIkGYKP
3mrGB/Ye+nlg36Re2gRb9GyEcMWTNDeKZurM3Ml4Jz14mvmzHBCru7o1r36TdZ+zIo0YwodzJPea
daDYiXIx7gFTPaqoNLA5cmLjwVolQRniI2vTkXjGPDSMVgGKQVAIYuRJk28Q4ual253zodrxambg
BUGmFWRn4IlMsjMkndc8s3saZ6Udo9yEmhy/N56Vv5dWayUHEWfy66yMg9A3dS9r3vAFjkCXfdFB
0FyHYevvJxvlZxYbCimRuN4XbariJprDwGPKHeT6OjVwY60zPqQgyX3t2E18STBg+sQTVayDKuap
rPXS7PiYzG+0DeW1Yqg1rrVNiNWKnqPY0xCt460fDnSPvWkPpUpBXJqrLbYC2L6mcBBVVT3grEs0
yssDi41fPZYxIqmosKJrkfJA7IJQ6VPHjPk1n13caKjJQvx3srJelD2ZayIA7O+IsUgojIoWq4BC
AoNGOUwvbbZ1X3uoFS5rey7sPVKyMnr2JqsgF9Em2QGRTTeH5zRSXjPamIgh+npxxZUOZ6LXk8Z/
jBJHEhE6mnlFzCfAFADgBCHTlbpw/fxT2jvVgWh6sepFa97lZNoHM2J3FpjTV6AhyFNlOasYiCrC
98YSyPbqLPw8D6qHdz9GOH2gqqxv49ISejUs8wAjovePNBeW116Gpt06DYBlp3UbenFJ7+UPtldN
Pv8vUAnVBczRTRbJHRWieywnQYIvWI6W5Wi0na9IB8Mb8uXcT5Y1VLdIfJudCzzpWRJjkN9WTBNY
UETqByjpxvpTIavpAKSTLooZ2/xrYAKyAHPdRFtrUTHpi4Mcw8fUMsP3Kcwx75P8rT752guhhnWd
ztZJgcLZs1C5rvOJIDaq9bDaEhMrybCkZFRbf0lujR4We0uZnQ6bqAcSssIbGLwg2vT4cJfJ4YwT
3YkqlmsvTsaHMg6nC2ExyEILlz02lcng0kTDFpu+f0pAXr8RPTAmgLgadJ2eVy0SbohBGkLfq770
B+3e9Cq4NxLhihuolyYlzixJG7rtWB5XTe4nF7mrDWbfzvs6ZYV9TLM4Wgu/RXg5tPPGm/NPJeUY
fdLwmz/ln0l4tvZOLhEUJGmFxBu1LhDPdPJe+jJXcLFbVmJ63B0DAdF4o3vEzFDSoUJ82R5HL8kQ
TlhNgxnfQtiOpH121ToNJbhzNJTMl6Ys+orEg+Q44fTOM21mOAItDUf/MJYymq4XHp+vCQreZj0O
lDpeJqueHMuuufR6VAhLbBeHEhvPVgyKqOJMDhcG6fUm5IXoNiTDFMeml/Y2K4rwnkaaRESVSAAO
cfmlinLxPaLH9yYjl6yFZe4+WwpdfbkEXr4Z7QL/q+cnAa7rBgtDjGJ8W6LbwrJAdHdwOReNZT15
zBxIqBuHvFlHpVH1RqicEEUVIf3dVjwwKVuOIpu3Kb1cwuZ1Oh3b3HKvlTMAcZUTOk2g9QaNQ5iV
xTFe3O5bpBKxqgJJgK4XtfJYVR1MFVaEIdwhqIxuFjJ4EWjWOr4alza+tHsxz+veMdnnqu3ck6+1
VaLTzfrPZAECJurjZv4EXLQvNrPXn6UHVrSwWjCmD/d14DClIkacOhSF6LKvZh81YclVvnJ0hPjU
lC4CTIHrsqw0IcSiiZB1BKJ7poiC7lJCj/zSqRl6G2aFk6z8CEki2Z4IblFIXWNDQAItY1oya/Be
JEV2rlPcmNDJshU0xH7TBla2bBxw3niP07xiDuVEBcuZLXbjqM9fv4WdKJ9Vm+PBTV6ufHrtYg2r
gwASVI13Y7w0z+6fGhAfU/AxssLwtRiVobuNSPMOMnDabKJU6Hlrcv7Ky7wJ5/xGEzx8hftfm7Ur
OuqXIFZ3oq2C+6TTIdGcIqBtnNKshw5oBM/J4KMBL5nt2LuhKzaIlPAi9LA2VhaF6Z2f+uOFSbg8
a0R6yzltdvGfcTIsrJFNNrf7HAy82kYZ8uwXkCDNN6EromXLnkQKNrLn6qgAfwsvztBWplBI7udh
mtPLCEUF4iCFSuIMjUmrLdEBcIRmVSCZYoGeeyghWf9cJh6hyQnf6BuDnv2iNsOw5RXQ3yrjO/cj
3fpu47SxvMuWyWLAY8fPYgD5I4Y4/mbQAD6BwxgvaJtYb+RJINEG8bzcjU1h3lh/KRc81QumB8jz
9oSlI+ocKzs62nU6vzT5jBvV8I15YXgPgswrPTKDU2kX5Z7YDuJqQXNKBGdu3xJFP9ild7QtSRXT
5XWiDxHVPw6SwVEY/zL3iIIzkDsARX6+QbWDMNPLMjXvUQGk+WmB73HhG29WR+M5HUjtQiprY2IZ
fx/qofrSaeC1awZsJFx17KWevWLOsnWQjZN29naGyxJprM68U+7CTmbNKtoC7P6ItXvlYK2x3hvd
hYQ/Chk1m3iRfnFkeLL003oZ2O5sUGc30auaRie69xFvEQXAk0bSDF11n3FyYt5RTa26OQ2K3Qis
aNVPMtymArX5fiJ88+jyPvFgLgj0L3FEI2IyrodNaSGWFE1Qw0gcucejzfdmYTI0J3eYPpS8lYQV
1OiMljgVlzAqrGSfVaOR2ypKzRaFgR24EJMHbFuoCH0957CMlVJXGeCz4qYlAMlDi9ZW3nWPfCg5
+U43ZDfRGJoA7WySjIeCVjuObL++g+6irMvIpyZ5nOkvL/sYSbELPWPJ8iNWybx4zdNWVwdfM8/b
tWU0d5+qZbbfMTiW+BZm4yefyiDFJxNOqRNSJAESSLnvo0A6PXQdZaaeVI61njjT7JzFbn9yYS8w
re31iFMoIfcsyf05hs6NYxuwAQQub64cxpD+ud+OTntPsh21hEiC6SEjWqIiSiwobBgqrRthfTLE
bcIBGsP1UjlNv+1LQaQq7jFr06cjCTaVGycnV9O322Hd4NuFtjZMTlD0ZwVUtEcstuLLUBFzZwWy
e5tKyu1WTXN1RT66CNeWyvylYrbbR+2ptolFOCRRDL6l96swe+YjFWBenfqaMscex8thdPFGr/K8
G6qnDLBY8dnhHW7uUtPPmzpoEVZnKsnZ2nXBcFuoOH4rKO5wis+IV7CxAkzaoLWbl4OTRui+M8tb
CIxL/NBbLVbY70KhAd4skbYu8qp8o814Tmx12vSWTDa+ifQmP1nuBDxJ2stt0aX3xaBsQxxBiTpM
xuAnV4s7FPtyCtpskydGXYi+4jNVY1/6ztjXEkcnJO97Q4vhrOuS2fxlTrXroppwUgpWe+hOSg3m
wTgqWCPidfn++3N1HFxlEcbsyXuTdqxNyFHLC+Y5taBqSXKFrGz2A/BD6fAZeQhDXAcvOYpfEuSJ
nWYrDPy40+RHd8OcPnfpOdsZgh6B2zJPnZs5cKW4iu0aniZ/2s7JRxhsa6OKBvYWdu4J96C2p/2U
1uFXxdKfbyfm10+d47FjKlF+vFdWUB+tTlprGYQJFBXZoY2sFidYyRRZ72apfPfGl6l7r/LG2+dt
UR0LMdvLZ9fhcgRjAK+/n/pHrnx88PAc8eeb0EGitHTH1q6n95QR9/MMNOVlVmlf7J3CESdy8c5u
IjSMEE4c+ZaWAwPQUqNcXYeNY1ebcfBJjqlxvsjr2BjFuuRGRDpanNizSssYTtMyV6upbOgt1VEy
qk3LZh9rQRKoTe9DGoToVtjDZqQnzYqt4uCvJvh/W3fzfKC/dXj/b4TKuvg16DT+3xuXL9+6/r9W
3+r0Xf7YuvzXn/urdRnbfwB35OW2QbrQoEQY96/eZeT/EQmY67iPnbMy7wcPMmo6AXOOWDPEdrBg
fvAgCzzIdM6R4UEsRQHINO4/ENr9PGDCwUv/HfJWDFQUr3PwEeYfehbdsiiIQE+Zkk8wcT9DGuQb
Py8jCCbz8YfLc/vXzPDHKf+f9Jb/M0r883geXVkPHBV8bk7k504pdQyZ8kz/9w6Lzj4VZfENCg7l
m1O322kexk2VLAz9Df8XqntgZ0Q2Zb4BxJNIdgrCfSoH2gm/mRR9xN+er4MHKyryEB0SCvmR4XsW
VFA1VNF+FPJTX/M7GJtHqxDxrei9E9gEtGLSpYeWE7STzVe+Nvbpny/OzxORv66Ne04FBunnuKDH
fr42ZYT3ZipIS2nziU7XOZkqcvLm8Z+P8os77nGqZ8Ic+j43/jAUC7nI+JgK0FcN4qZyfIm8MD+M
OdtcxMLjby7sL87Jd0GWccd9gfbgw0gRbJBjT4ik93EdBjvSsZCsGL7w/3xOvJQ/zJL+vHLsQaKY
BDWbZ1h8eKpEUjpq9JNw72eE8yjsziR2mHuawF/++UC/uHiouQPEUJwPSooPB8KcwxU9P75JbpM+
aBW4YBaFba6+dYvyP6Mhn59JfAN/Djzo4vj2h4NNBpNE2HnhHuKuvZYR0CcyINH0LQEipyI4/PO5
ifO9+PBugsqPGIaxIrBOfbhXuRN5iw5T5PoWgbGa1B+C1BP7XjpZcOQbWm5I3wp2+CrEYWkIoOPT
lHwmH4XedT2p+6KM9N6tq2HjohFw0Gqpdh2QLci4bllu6TVV7SbK6phCvqiJ9qyqqF8x28CP24wK
wk+/OBvjF3j47SK4I0tI3/3zOf7qPaejFCBetVmL/+15HNm4j/6ch/u0zsSx8K3oOA8+39nBf7Lm
mmow6Y5EB3wP3azdegjIHsfUi35zqX/1vMas3B5Rz7bveh+utC5mDyQMmYtSGu84efl1DaBnhbkg
+I2I4t+PFDMUBsYHXwIl18d7mrVZN8Yg2Pdhklfr6Wwqx0b7qUNRsv3NpYVb8W8PUGwjGv9z1kbL
4M///oMSGRiOa4UCv4cH2B9SjJUfNCv+LTHq031g8SAI1T+mePPQJfeoU/Fqs/MM6haBWTONB6ZU
co8skoZAZ/zgweSD/+4PICrHoCDby6U+f0DU6132/dBclChX9zXQRMTWjimmnYQqv6aLDDe8Cs3R
ZthwaPFHglaq572lIHdqrYhR9XVMBrqx8R36OPeT/dgLGliVw9QsK/ybmghZWExZF2zTgVxFDM75
TWJXxTt78epIYu24tWW8HOYYFUgzEDNZqj58zd3FuxkFJ750tKCtBF6cH+vgxAQ8uXKKeROXPXAc
HKLHzM+RlLA/WbENaR89oVtGZnX7HqU2Xr4MjsAqm1Wyrpux24b1MO/qmKi13O6LB8tu1U1kVxF2
27AdgfFMi17hX1Sv7TQkV+QbJzTLl3w/kJ/2BfjBhBvadt+IcnmpQXpT9FpNcFH0Gr+Qdq/DKtso
Oz+4tEAP9eDQDtFDKu4ZimDycLMgurA9t7tZBlrEKR3JfQfgds/pnHMHYX0kUuWbbqFpexpIpIcg
HMj5MjYxNzMv4QnB90lMSG9K5XupxuEbJRPXZHTP+Ku6hcNtnGvVJ8ArfIKsjqrxuhenq4dnH3+N
og3UdsEq0fQyKNvmHtxS3D9FsvKOBrrIelTKWsMh8DDxBmRFKjtBzpxGbbJWC5/+VZnihV0V0mvM
phyi/ECzXu/qiPstuoHLN1id/860A4ML95ZFaMBc5bW+/5a1Yr7A/uC9uZkiVS7CBHgzpMpGtoaO
gTa+sbtozeIxsXJ6M9RYVFPx89j5vXxGC13j5LGLLwqWIZzSxOeJj4eie5AehRBe+bEl/VgnJzhS
awl75vuSujPdSBx36cZmD01AOCCmBf2nmS8FlIzTEvRBg5dnJEcgSG3i1qdgLxYKHHz1ovocuP4Q
05JivxZ7Wh0BcYeIWUtzGBJ7ugoWZKOrwiOmrWkgVa7tsqo2UZ1cl2bCTUdoH4b42uH3ZqN2SW2I
zvlDlQhIn7OsfLkUo2YW4ahTFhO4ljIweHDrsV+X+byb2jB7FHY8bXN05zsSMYPDaDXpLlbMICOf
wBHVTDSNgonnQy5MRFaZNMEuhAr/PJDOc+HO6lvjwAXLDU44TVfjU5zEAYiH1FVHy9F6hQmZxGMx
MGd3Fn+EDh14G5RoXH07Ip+OTdU6g+RHN0czQvNwfSOiqt5tnRbXBXSGA5F3ydfSBdrFJnAcaSPa
7UZyix+S0LUP5BDJ7YjxYG9Bd/YoRfWXwa/6OxF38yEerWqvQRJu4Yw5O1IGGIGKeDcNFIjT4ngX
CVlz2+k8MtOm8FZDe0r9PLromogkj4oO1LeuS5GPF8lTOg/ehdIwZSxGcBda9/F7HgXuEwawfivT
1MUkmYAe7HGDH4TtEwFc9Wxj/ZxXIbLSU146wyZoKY4r4WcXaTu8RpHuTlFjl2u+evTwjDFMY5b6
qgdthV3fGxfSBXOPeZ9mcB2eKWKeAb03VRTerr9cd67Kttjylwehwu6KLmf+ecpZcW2L9Gg+8zkK
+3K67YZmZDdsJa9tSo6KoWP1BM5j2U56BsUFkeMqjYtXQ5A8uQXVdO640CEMbhNZ3dvMyo8VgKwj
Qmpa22UBih2ChzSMXRs3GL9hBuqB9LVltfCuWc7rFCv3ypPd1ZjQT4jaIl1Poz2vhTc7lzSdvBTS
RiZ3WoZEhMpm3DWIQFed07OhcIJ2tWg90AMmGnOnPQAusl+wUdfWd5C/q2oM/UeKpGVP0IVa+Q2v
cuDYeweR5HYcG+fKq3vogfrSLc4BNBhWwGcIvU+S+h0CITASztwltjQ/pwQDcaI7yNgiy0nrnQTR
2a4ZGROMJrmv7aTahtAWLrBuXHnNUG+ITFnIKg2gpY1GfcJLGZFnjP0/mJfbwMfcU4w1FtdgGoPX
OsymrSPTeReqhCFNZKck2Xo1PRpgJ3X7RF023Yma9EsZuMleEzSydlhsyNtFfOAoK37ION83HY8D
WvhJgrKToEomlnNVgJ2Wpgk3oWoSe+vDRB+2QcMVQdqyhLfSrwHCpSxeL0Omu8/MupCHKrBI5gjK
bYp2QV3V675bvs8iJzcwh9ZM9/GdQVdz5K9b8AdO3a7wtLcmG0Rtulnes/ZvbBafa15CtV+KDtSp
G5dvNDzVSaR0FB2DDt5BrrUBCECweF7O2JfR25VkKuolwcMqvWdw+/Ymja0nFzEFVnuhbgOriXbd
Am2bLFUHM1ASjDy5ZSfXS+ipBxHYD2HeqUPTItSLe1Ja+64sTtPcIVlUBlIEPXhWeVMrPCE8FNAZ
xT5tZLBnSSHiUtPExyorL+e+ErcYSXNCMrP6rYm8bqs8f5tg2L3AzmzR/Iqb73yQ8m1R0+JCqzg8
pQ42C2aQ/vhNy4UOYINpd1No0HwLUzFqRn/eWQRG0kdvqiM2/O+NEM1pGhPngWBt/FL2fJtDeD7N
i8/IPnbxwANHH55R+RNJvpR6m3FvblQ028fQV8nOIhb9fqG3teuq5KvG2HAN8z/dyTyuT+Q857AT
ClMekEtMe+RC89owMECzad8hOolwgWRgy6Nh2i0JpIUVcoT6BFPShgsi7J3jmn41iWLZNVNeXjCQ
jIFlViYfYSviv6Fr3HwRk5AXGEbKflf3XJE4IA4hqWPn6GUNaR4ki5SeeZ311FxNzXQ9yab76pMA
f6laF6yWI6c1e8Nrg71kGydd9+52ASkHthqOlU+oQmM918lclmcwQrpVBF6fGpQB26yd0k1qguoJ
q0N/HSOg3hM7Oh1gJ6AxrvST12a0lbNIbFQ86K+qHhe+3BQFK5FDXyFZcty0grW5bIL0GlVMegdo
p153dgtdqhKM61ybcSuNjOF2yvRLO9c9fjtzmYlBIvMat03Guk0uWruVZsIbzpgb7NWyH2KSDc/g
pG5pwyuxOLhh8jy/o7D3mVsVCfjbpEUXBP5uVU31c1dY+a4NwV6V9pc6yA9mdPqjNNjww6wTB2YN
SL6cga+wOyEszv1lL88x7XF4jtoKd3NAg3LVtlZ0ipsJ3whMGNQCj1B/qw2KL7Qdo08zMiW5pJxK
4nJj7GRZwWRiiHHAcfyVrvwvvfKT17AKgCzYvM3jHIDRQvDfqqe575gFDfOpt8xzVIjhNsMtx6V9
A83KNzqzvjDjexZueVXnwUM68IXKK+cG4/+3tPymx2jYqzw3WLjTxz5gpl6p9gS15jL3QfSIhQA3
6DeXUlvAWskH9VCdoB1yoy/NBI01FdWar9QavMewZ6hevSzuV1pxchcJBUxzLKq1xFS0Mv7MIL7q
8kfT5OgsuvpJL9EzcWH8o97LNvk0Nf5lRteW9Lv+AiESuA+pi11dZU+ZiLFuV4+4b9AVqSNofbn2
u/raDUp+uxjIlWwH2Dv0tMkuo3UrLBxlEAmQ2ChxrEl72Y2BvC94q46yyICZ2McAXY9FWuPKEg6O
ywGyEcjjQ+CI4aaOUx+gVdh966WMaZr5xzKxqlOc+8FuSEamv2PymXkvG3O2+4+98hhgssnnlYUF
9yVbHMDi8JDSpPJ34OXkaS4R5IoEOw2lFOBizwVuB+XYbDryojfQVzWUh/pKePgvupqcRNkmYE2q
0cOYxBahGzGMGRKrZMoJFwKExiRMAgjCqzdLw/1m39qAdggfsIDcECaTrwOhPyHc2nU9dX4dUH1W
pTArP2HNb1MKeje+zxb3yi2Sl36ur6sg8TA8ct9TC5dkEUp9zLKl5aNfP9m9N601sz4B//61YOqy
YYwBm6r5HFreSyAhuiyab/bcdtw0XT63wjW3sxyq54lmKHYZX+KcSh2ihgSyR/hGDIMYJueD6feZ
lxHHSkPkFNYAIyAlMXeoRmrbUH+qHYNGLQg4U7sAOFYMN76j5lVWuc12Ycj8PSTQ7SZvGGeBe5K7
GfrYzopxW86lfVWzZ9kV7H9OY51QHAUNOGF9y6gM0Ggbqdestfx9DfF6T4vlARVjs0vQffhDeh1R
Ht50yjLbibVjixwluGpiUVL0T+ybc0er60XYNeiNqdzZAZvjqNYvblksW4NqeycwWZyVDTEK1GB6
FBYIlrBuqSU1fArkMc2XiZM6hTqUm2DilgrHtAeRWWbP99a+RnmIGKUpawwLh3peii32P3Flz0qC
pDDFVYmq87lzmuA5mvxvcEjERogacpt07Rc5yJ7ZfkEkBXrEzyPP9m2vo+Bqzl1Mo65r7ZF7D3us
qRmZ2HF37Zuu2nq0cYjGyNBbKZypq5Fqvqbu68In+H5Ag9Le3dmw1mD90eNbS7erzlqklvSqCjE8
SKu3WVEqpnS8viRpBqdPOTPYSkqhni0yCl7fpVddUCsVNhkjqvY3BSivU6v7+c0sM8G1OthKXt+d
3YGWAsjkbsfCH7EhptNtbkN+Wkh+OhEdN5BzEdxlNKLWQ8Udx40WH1DFOruJXgrBFqPBpNxhfZ+0
PiIN3KJWmXYxLzp7qUpfYHYatgWKUnYCbnUV4+SljJXZ2i+dcYPcKju2EDT2ZgLDVcnev+A4Z41E
me0XXwyHpByjE8PLhJ5LozYkXk+3bMAexk646IYKZ0267ldIXeOrU6af6nCRV2rKkheZL1/Zjuv7
eFQSm522DBGNBoZ3qYcL8iWfhPBfOGx3QstyzAID3S+jHO7QE6x1QstNTF3ecaN0BhfbojdU687d
VoxMD3FloayF+AZHrebxaZr2f7F3JruRI2uWfpVC7XnBwTgteuP0Wa55DG0IhRTiTBppxvHp+2Pc
alRWVNW9qE0DDXQuEghkKiS500n7z3/Od/Zu2sTJnqFPvNIpbW25BOXr6vzASQU0JMAHgY8SA0U0
5159j1ZRP0tjDKMuTOUH2CnnIRsy4DItkOd0ZjTceEvW3UG6+gngJ3xAj1ujAY4m8StxJgFcijSe
bwSm3ie5XneXummLnRdOxWmYaFGRbeztWqOpDoaR0lasKBV1fCs74xrEg+N2jb8J8MIB41/eRyXM
I8UM81vaYJIq87xD4fB++gTmOBzQCCgcK9mpCsMyYQf8SsNMO8zApBWETn7i8rsPhYdLrquT9jix
X71gBwMb2DQZ7vGB/TGAOrlc4enDUCiwetzPuSm+Bqwy9tlYCkpOR98JIlDn/hvxbbPYwbie3F3X
p9l3w0XmY1udc3lJEz0/LRVobWowjS7eBRA8BGaPrnwbPbffGfPIpLfo5Yl4mjjIoeTpOFPJwtbk
Mfd67plhx+I5btN9HljTFkZcQpCfdtlCSfc5LoiZ6AGsndWdwVtCICh4dvBZLZfruqvCXb4m7zbC
XxRutLpl5eyXzQvfqHuuyrqhAIp7p9VUN02ti31eS//ipqG1L60x5TYX6Bqzt3TOLOXt3SJ8Cv4E
dNQjJqXheWzn5bGIh/YJ86q4NgERkHAl4W7WELRmI0dlV6UsjxhpQOtoP+vxWceLh5PZ4p5YmTx/
jQYvC2jNasD+Nho76AitwL5CvXep+3jf+gla+twWdOsWPAwAafXYQ7xWlXsjHuWHV6whdd6T4snn
/nPTV0H/q6td2kZjhslDz0sdUIHkrlxwu3uIYfuYVvHgBWF1CId0ilz0y40MzeR6dPs7kVjuFiWH
3vGYShyqhG4Q3In8xCO785gbL3uEveGOQMYgdmO7T7Yyy+HuYGsODdisxlS4cjOEbXHtYiXHhqpe
fGCf6TYtcJ+qCtodqXn7GA6BHXWYO3c0jMAtXHT/wEgZ8/mvcA2lhseOXfJTQbiFnMXpxu2nHeXg
5gHp44uaRXGCEbtsmmUkBJ0e21GPB5RakoxBbN6pNQjt0Fm5qXuDcDRA4iON8SWG3KI9O0H24OG5
34EJOMfCJD7P1QKtAlV4h6rTX/sqt39ODWbNbZUDnecMjm8WGwBm5Bjf0hXmz/7g+zgZuXlBuvLy
ITz0sy1fkT/kfR0o/ZCMgX4jG5jf8sozFyPd7a2h8285y42Rh4GYYoCm2ZqD/UunSXcEHjzduksC
vMcMy/gnGiwnfMGR66p2EnzwgnsehYPK96lOIMhM/CBpYawXTaj1N1F0gKumFS9wR8eJtWPl1vDG
lCPDZ56lPUZqXEwE/+eeMbho4m456XCWDYduk5VqoOGzY1291qAXngtviHdWGrQXlQDuic114xJD
vZuljCZ6x3cl0Abu/KN6cMHLHippmbfIIj5/tQqRLxSKnuv7EyI6Z1lwo/gmylsJ/bxKbWgF7Cwj
ql+2rhTDbVyWW62giFLYsWMCwk3Yye9+6Z5rPYXP0CKg+alkbSNJsOdvfWshrj69LmoFC2LT2adD
tjWokdwEkjx/M2fZOWnQhFjonJIyM17UaGTbMEO7RHYvoixdsrPE0FhVqdjrhqmrxXR3hAnOMDsI
CtEUxOkTJ1h8s1lXecve1DwViYoHhEPcZgzrqAMRuhFqJAUSGCmGbLYqxk0DSK7Zm0aFjoOikT46
EIyvOPQ1Jzv3mh0wC/noDXMFH097NHDKSrGlRvDw4s3S2/pOObWwuIHBwjQT2R67ImGI7JhWmq0T
i+5sOLapNzOo6X0RKPgRCbKmOfreG7/XstdzBRar7eEmO8sA1JWJpbyL6WJDuFla52u2Ww69eOhD
IPO1BcEgaFcu63qzLIAx4qp2YudbeMVKYQwC45CzQ+Dxhl7y6k6F/6ZneoPYSDXXJRaBBxaf/smz
HefZdBOCDJ77m6NniJFGk1KFP7BCNxxkjKo+mTzhiAILuMyo/Yh2vQslf5NTtENFGv6mX6IWznPP
R/glNnNJlwHwNuyqqrqtW9NmxdDmJu73UBRfreGap3iaJ8AibvZISUOcEOA3FM+dxnuffeHfujIv
f5Yk+Ve3dnJL45546w0H5Jbqk+ojd8PljNWNP9cj1Q6bEuwyXJAK018oG/cxbKDWRk0lrA8FF/E4
dnqoNipIvbvChDwRBa1K7oxFoO2mVMWkeNVNFervpgaJxxIpfq0wav8w+OzvDMUrn/NyFiePk+Rx
rrPlFcJn+lYnNh9N/G36h0390wcqsHgv8XlTe7FgIXAy/JWKIzx2K39Xc4mcpSEEj5Qm34HTmr7t
BUIgZq0+qgmybZQKwGLObe28GG6VnrAJz9fdOOIRs+wiMn1AkeYcZGcPmXktrNOSSosu/lgQWfgA
NGX7I6D14Lxw1uZQvZTdoeAAiPW9UsSyBveJh1f9a6j75s6rQUqwbDCcjetCiuGYRzlOYbxnyD2k
NLFRoN2YmGKthGxSUuQ3+DhIi3Dbp0KlkdUd6zLNlEfca+dmJYeS2q7kIz73LtwUcwmMcnYRIQWG
3Gtbj+VJ0O5La15KvkY08ivnkEaSxiIHEeXW2pJiB1n5pMLRNLe6qJprbhgB/KeMd86G7dUcGJPp
dR/slim6qdycxEZWUmmxeL79aeXdeI9gPd6ZZtw+uoPf/IK8WF7j3CvOC27eb8oCAgBHUl4S4RtG
ZFuD8+32uvlFvy7mPwO2+I8a68lbTu+FTxbV7zwaH9q+jujyhI4316QiuFTDLVA78aTcFlM9rDcc
zSJW5gPZavGS+FX1VSfdixWiitaKE8kwS3znPqx6iu/ctgCaMM4fmMJTP+rQTnvOU6QHfaT35ag0
sp4bDqraMwbwIvdy4IBheHIxz3nagt5PtUUYED5ydjNPGs6zy9aVe0QC29OBgXaV5jy/tqCg9H5c
Wi6dChdtGdkBDxubyBVc98Awr4dWTKyt6t6+MXsfwc7Xeo5cz08++k7GRIk79SZgdOZr3Wt6glTb
PKS8UcFeBEo8KxaE886sWv+Lo5EYNmFWzZ95Uo+IK6X086P08WFGbIzxknI15+oQWzwzN7pTkxf5
Ye29903okZjgyH+VxM747On1yRZ64yHB9EgvfG2F58Sff3ZdQWKIuOK0YbTmc8IZid+AZYJle1HT
8shFx57Y4/g/knIpv7pkjJEstUv18IxVxLIurkbC5FkgOu/gkDZNtz4KNn5QfLXVxuE/PFkQ7Wh/
AvBV72TiVGw6LB+HKVEBpDNl5Z8xCMiTLzLXjspEm9bWN82MZFbcfnazD5R4EhaPf1Y381VRGJje
R+29LS1bB5YYDG948KsC/G3hfOWlNq/mTtQMuMtsHea1ndKhgiUqcz3vPWL0LPOC+gSdn0WZzzLt
jlAWYMJO9DxNVKzWTi+LI55tdK+5n65eQk4TTSq/ncEKr1xDhOcct9XduDhGueHXVue5U931TDvL
ll0tM/5c7IVnwkRh23dgtiE0zdQsv9tgwOAZlnl2lwbubcne92BDbn9Kq8oBI62M6ZhXwNn37O1T
yNXiwwVx/GB4ufg0APbgvjYvs201X3BC8mfHp5OG5HoTIv6K9i3kaX4xksa6oQ3ZeEgM+58ZMf6z
5SU0BS4oHtxw8IRY7RN/cSykhelLmbbBOtOzPGViviMRkt6WWmY8tzmq3g4g35/NYeBR+o8NE+K/
sktgQWELStYZ480f/p7FNrwgC6fgMEM+uQ092R2HjoQwj8QVJDaZUcxMxmLczIevceGR0pHg3cuh
sHDfq89CKjcKAgI8pTRJm9QsmOrJI0HMMX4lR1p3dTI6yDKV58MYr1z4P55ozhQKLtdaZTfKhgY8
umiDDk6tkuwU/dM0ovJkRj80ELYL+1BNBZxZ3EFbD0Tppu96wQnFfQLvzGZsnK27NvM+85o0EDxq
DUqaG34OZg1IbrpapabgnzVa2iv64z9alWg4o8CF1kEbddD/w8RWcSnx8glO63gomRvMOyGmuYn6
fD7VFpalEZ/07ITs3a0ZPlim+nkflgBOuZhaDExYzJPQjyq4wsGmr7wdBSPDyaS/LGom42oye+bd
suAA7OQkTHIqMf7xu78aSf/Tr+Cy0BIB/8afszrn/nLpZTxL5BB24cHsZP4bebWUUQCu92ox9IM1
Dd524OEMFUilZ0ps+l9svPpTZ65uPQQ316oLPmLQsoIa38Y//un+s22PbPzKhMTLHuJM/eP1BZts
eBaJyQOpb+6h5JiIIRGe/Cff5g9mxWrc4x+B45GPALd264/vI1kYCxVLuuGTmXwrtQrGkUBQD/20
9H7aDPDcIwsZ1YCWtzEdrw8Zh9BpizBeXOHZCW/LOSiwzfBhkdSw3Gqnx7pfxAuItMx8kjSLvvzj
l8b687Xhfm1armtinRQB2s8fNs2WiCOCBNfeoGxuCotNE4NvIg7mcSE36P7iJSxuGzNrfhAoo+y0
ss0oHQAezWL2tpgZ5i83D6e/w1v+r/mv/2q//n8KgwrXhc/Wf2/SfvqosvJfbj6++v/g0f77l/0b
CtX8mwMKwseO7a6cn3/3aPve32wMbaHn/XZoOyt54v/0RDl/o0idQXC9EiAjrX5dBY0v/V//Cj8V
uytfJZiWXByh3v/Eo72SUP56s1tL+vC24gjmuwGz+QPs0rVO0HuT1+3I3txZ4LWwbrXvSApJ1CEx
0ix9FkR0AKVwov/LK3X392/yV7/2n9c6vxSWWmzRIYtsYf7ZToyzya6K0dC7LsaUbSyyvpSIjP8E
ceX9AQ3zscebvofTnVfesfiWfwB0YAywSCBxgY/BWI6x9pLI0CkiMRvZje59TXw9tykkwonT87C7
aHIRn6RuqCaQE4JPqpneAWAt083gUtAO99xlxb5Mm87NnDMV0+vwr8JrJ1PUanfz0BxjGifmI0rQ
Nu6kf08C0y2uJdlRGGXek0PIPfITm7/QXxi3F9Jft6KxShM6vbomxcgmJYMy2XBs3OOskKi9pcJJ
JxbjyTJbYmyycpZ76k7six0o48mn+IEVdRPejk6ynlaRHZNipScYxvxMUanYQWMvNxZUZtxQXn+w
Z9O9CjFHHVwwPqeFki4nmjrsVxsSpUZxFH5rX1jhe4qRPOvHk9G6jXPVEumTB3SH+JBkxBk7A1sb
3Ulz8B6s2whMU9J+IMWfyEhVIdQcCpmotYciiz1cXTRiPkFdmI/3lZMMv+iQMH8QqldY0miPmun3
rPnS0B7HtzFJsEMQJ6wea0e99gzyuyG21x4FfRXU4ortoDzSQ6U43gTZIW+Nd683w2uT/gZvy6Gc
xqde9dh78BhkV17uTPpIf+h008MJ4M0qiqshmKpDmXrFwQ4SnEt5GzSXmnPVKS0nwuxDOj4lNEgd
CF0nWyof2B0qYCVLz9utOMd9wNinL6yWWElCv5oOhRHeVnM7XgCtJPsCneraMcgv2j7MVndkxecb
KjhayFm7laPsbifdW5c5G1MZVW7FcJaPMXO2UfL2dywrw14KqIwBdV0GLrBB0DTs6V69AqYPXv2C
7Y5EaO2mxL0KrNbZqPU61wn6YMtZ59qZu/Bp8JqM7WCvt6PCx+CYk9rC+JQgGSjyxhBKU4JvL1D2
Gc6LxyBRobUdXIwoTTSHhkq3RdOiMxNoGN/zoHcsqo1xzPMSm6gyhRoyPi3W6HKmXxb6iJzRFsMe
+uVyE9S+87MWsX4wnRpBzsdze5jrYH7kFOn/WhK7e/RHFT5DF7EBkKW98Z5n9nSh9Ew8Yfpm2sGZ
0fo3Ii1CJvBpaDoS2W487i3DwC4TrrXMI1v7hKxSmzQnXSTjT0l1LdT23Aar21md9R4Eaj4svjtH
3JewuIaLl/9UU1fejVVebNukRwzIbJetUHtSNaHyoBy/lzV4WXXTuC9qx/lmQSm/sknlxxnT3XVb
9Olp6WDEWTEVtbycznDjsRe6Mt2MdFU/WfrZG+3wM4+d+MQgD+rF5RBcq3FMo0RV7rEwW4yoVOCp
68Xq0t3srAtTnK+YNkbrxmwW/KPLUO/7scm+SXlYuxHn2kMN6/4RodH6qKhtuMO71B/iFOwU/ij1
jJ2oOZQDhWt6Sqo3/MftC6x359kPQnFKFQgUSZor3rrFUGCW6YvxIJXibEtknSI60OtW9wnOoU6u
UoeaS9bMZSCe7SZr6JbiK98wRB3ifE6/49jx/KOYzX5BFnab5WjT3is2OsvnXeM1+4CVyrwJCTcG
27zvOFclZksClVYOj82MEXbbCXnmgyuN7VnNKpwbkh9iszIy7sazTGlwSJGl8z2+ZFaxDu1du95H
P71oOVfnxZktwpiiILEaMNGd4jaw3l3DDYErLMOpNf34VTl2R3WzMYwGq1W4dLs4HvjYDBQpfDCv
s9tiLz1eJehItDHV2j/RrILQ38JHvbcogIL/4YAsjROay+p8kje6w/1yTvE17gZj/kF7UA3gFpn+
UA+l8Vj3jvzVxoAs8DCnu9HHVboz+57xYB5m3W49KGNvXPz0eVTLMCUR2ffQOUBxBSPE9I0tGlOz
N0aIIVpFvW5RZ8QorR+THCi/0Glh7Suw5jS89a3+YdRsA3d+IcUru0bzrUXSjsx2sT+zXtuRI5Zw
i/us25tlom7HyQu/lLM0N2Y7hfnBcTVbbctjHxWVS9wc5oQIb8T/ll21lAM1dLn6zhM1h8gniC8Z
ZG+hWzLOHT9AVSwFyKl0ATwx0pzNsrvI4aQVlLhK7pmc2DfpMmfloSlWp1KcuH0VMYkt0z74XdpX
EYgGY7c+d4K11Y9HD3ItPRT0XjVr71+xNgAWHV2AvGWU1LCM2wuo35i12GoxfIFqN9cmQXri6fkp
U8fAEdtU9R3pzD5y1/5BuTYRWmsnoYpJdNNl6zu3+TB4N6Q2uyhp7fpCLwY5dnL4V1XYjnS+Ef7f
gOjK6wgzMGJSuHYiGhazB9yHtSpR0K6xftBx3y26s3eJGQZfZL+4bnuMaRNbyFB9d/NvEsNaxmhq
msYJbnLeCte2RgRmsQ3MRt8bRXNwtDfdpWvF41KMyYulqX1sbDwyrMYhJckU5jAdf8hMeCIv7L/T
W5ygfGzttUqyXEslWfIWfGbWpkmbqi0cl6lnLhg5HRNBxu2ugyW9EBnZkV7ngdy36iDMhhZL306x
ZVFsOSySL05FW9zYv4svs9K5EZNFkmb0jexh0trcwIYwr9J43i2AyzGXEcZdCzWNZrEizmT7bC3b
5Jj8KQbD3Y70cBZrIWe1VnOKXPL9+MLVRlT5Z91gklsKz44qBJS9kA77gSCvg7sxpdlm4ynLoRLH
XhtBYXw3V01BTShPuZFQLxcV5yAOQt/VWik6q7VdlPLc5cFjrwKQwiGMB++AH+hkp1iqNjZrsQ1D
fPcLAg0NEiLI9GcfrL0SFYpcCulLUvkx2Oal+N1B0Qbl2kfxu5uiJNuuNiHm//GEnUzyVydAhHHo
9zWgm7m9UrNGy6dbBw+/n7g8D2Wf9a/aVfbr2OK58JOAtPd6VGH767HmIK0f0B2dt6b3ucjCvxdd
PL5Yy1pi1g5ZcU4CR9LBZ3P62mEIbZ5bEO34dNlCsX3B5HHXKrncFGY3HLvaF38PDZu2nd86iRe8
TaqgTHGyemyDReBNkt1IxihesMDizeMGLqMVyQPw2y26X2FhZ+l+WOyKxqAxnx9dZy20Yy6A4lBj
AXCP5tR0l94IU7WbIVFe0ryS35oOIG7xOXrD+r6AQYpZl+EP9gQ3sQyAvbp07ViOt3UlMPp2iYHg
TRfSsOxEYszxbUIrSL3NE4t3Xc7omEQUKEHYFhyI3b07p/bjgG/dgOHrA4rKB9sezqHXDsGe/hgO
HU0ZnvvBh9yfVubECRi+LKqNKFjr5aHitGYHT3IZ7Vc/Nb1XPtT5cLZE51whLU6XhZtOwS298J+B
xQ311cQGuMUZSKIMPgMIQFT6sOPIKid5tdSl8REga07b2Fhga5DP6tjAsmpGsGRyGPZ0yMEp4z0J
u3M6x/hcyiF/6bCDZZcl1V5wcjVgybLpeoADrfHLtPIYZoOFSG/yVDnN08ituAnS/A1KF4UxJOf1
K++2vKZDLMdnXDmg+LmZH2NV2leLAJMXurG+sP8pswgzLEsMfvXdzA/RR5Mnphs5uCV6dEqzGsYG
SjLZ97XukzbtFvfnP576/uCZMo4x9pkWoiBVQdgB/pRFYaDpvsyE3qHHl2B2kp91Vj/CEnhzwurR
dmserD58bQ6Z7yofln+S0vs90f514l2/f2ivs6DJ3OmGf4yDs1oGe1wEMLgE4k8/9DKJfMMxgqNI
V4m+GGSF9zas06+aBweuMRxIANyAPL1Z0+yeZqPuL56s9EOR+eH1+stQaWvaN8Yo5zdogTLKVkwF
gmHu6zsoGk28//0i/n895mmWMDs/vqqs3mZKd9mn/quwYgH35f367/WY64+vdP74l7vu4+uXSv+L
L/03Tcb+GyFl4aELEmYh647sQRxG/69/Xbu7CcyjRgQBld72v0sytvc3SOeUxgAKRU301wvn3yQZ
YvNIDFxWoAUdl9D7/6yfxv59Df71GiXu4aGBYmHzaLxx3D+ky4yj8MRGTu2h7aX4mzs6S6HTpLeG
kZsvqaut1wB3SIlG45eXjLpK6xzUUp+CMcsfa2Fnt11LhIxT4yy+yNuHT0utQ6hATWJ7F3qs+vSF
8EgMzJbIwgv0Pi55advbyeBcoExSEpTUPfv4fyKd9sOtrM0XygMnKg/q8SlzZfWULHXNboVjU0d4
8WhTvHH2liU9dXC/7iqyHmT7fHdqcDrpSkZtCn1e2zOuVndWJgWDtIkGpjWaUdcH833Yx8O8obCj
bM521z6wbqiWhwFKtXPy0qV6lGZAgxV2xOGRZGNFHZgYwfFiJBY44YWdDic7AXKzoRFFfpFiAFHH
XhvRw8G9oi/9VIfhGfnA93esVe3uHl1YfhEOYbeU4Lob2Owl4VeD0vNzsUjiHG3iCtVO+w4VQflo
cI4JQ2gdBpaHCji3X4/nxXCHbx37uqGzDe5baffWE0SedakXB/dkhlxSDUB/PFyl7OJTaZL2D7yf
tEaJ4eR4rJg3bdy1cFLWo9kmnaSgDrojA50nIotiS6C9hbP5JFST/ehLkXwhhHQsz5R/U1Eb4e8U
ma8d5LRERKQWxivfsvWhpj2SZKLboW6wroRSwm1+U6qWPFybyeXoriNfYunk4pQ0174zhHsPOYd1
HGkmrQVGFxQkCUo70gvngY3kpEyQ2GGYkH3VgS7x0i0FlPiFBZhUIiojxetsGi+iLj77iquF4hIQ
olnV0PCdJfkjtieIPRSRQyzk9wYY4kW5sVgMwWJqPsxmwqOX9UzYZRW8CjglK65FFc57KgGJUSY9
RH4/QUVpTJqXB+OYT26yxZ5CPQtUJZDLVYjOo6sH6eSUehDhvbju7N4jpoY/OvqEruE9k70tacY4
kKsNPjtyh1ikoEi9UV/U95jf3UlvvCxhEvOFDeIMfSPFJZaXEzWLaZnLs6rxCPvB0k6bmSHqMsaY
i/K6fgjyEWRlY4kWfii5MumEVO2I4QdJsJqDAhNCFI6BS4nHoGifDyBYOkdyWssH9os+fe1p9s7I
6KTgpOlSZX8zWQYxItPHkUzMDjwLNhOTChLsErg9JE69N4zwSF2VleiGUJs/MAvNCcadtFjD7yYo
Ng7SHKnbKDXQGmHUWP5Gep33w1n8DiNTkMAlPdA3Il5XaIZxw5SUdvsMvEu/xzyN80+sS4mo8EbH
3Y/zNJvbfOKNZq6o3YLPup3U043AldhfxwPg34hZ2aweGXtE/ZAGkMMwsMfW+MrAwOhr+mVBN1FC
2ihC+DLZxMzwsTYcx+iGAyX7ZOale2KDlLSPBW6GYJcZOsx/jbgaLgMJHT7YroRRNy9W+dLxg9pQ
TPPiVzlqeJxOjPRKdUNrENNy/XVqR1lEvQoMDqF1b8WEGZfym3ahNqo8Z0x2cS4LdeLKJNQkM9vf
EEAQ9/SQ1jd17bpfnjHV1IbBvsjOPcPTT7aAHblMPINb2gQ553IiyLhJTPZzDe33Gc8EMEqzwBZZ
FoLkqylbJIxA+pHvUiEbLWDMWRi6mPc3RcoRcMMN0mfEz/u2ifgVq62VSQqe8BevILypgIqb1934
Y2C7eD3Q+P7a4CSg4Jl1KSXMVCeQ/mLSZGiZUF3sxNiSBBvJcOjxGudleEepECfBIE/DfW540707
Ub0l0tp+qIY6FdHImEkVQ42EFreEUSndmqwTyYLsSusRU6jRtbQz2c5rpT3Ut+43UTD0qPAcEwYQ
HpHVbjJM8+eUkEDiDDXluyQzEgjSAeqUOffhRTYa+YuuW8YOyJXMl7W8NXTTf5gAY9+z0cK9n1r4
n/oh3zPJxA88LbPg0Fq+emqQsX+21Cl+2aE1Po1dNe6ZxB5DbkvQ7BCE1C4dmsccGTgn3pTKM0lS
7rwAHpOjVbXOtlID3ti6zjkUCz04EXszxpygXNPaqvR+JD6ovW2vanVVeHPwHeLS2dTQmSIzDonv
al29++Dtk23jmvZ4NO2e9P1QBlv6p5sjNtlm16Hj3rgKPOSmbQA/72eLX1ibCa2KoOMuxP0o8kFc
s+QFcBi1c8BpmedgUjEtTRXPrnpA+ZWiH9hWYpvGl06l3WYGd4mwZYj7oZ+d67wtwtu6w060BhU/
eTR3F7Bu6kc+YNwH/zwRYZqKhLGmggHdztyoXGfqHqrM5s8a6MAtP4t+J1huvkB0JgCKzrg82Kv7
JnNnSHyxhwnFz3+h+JbPMJbz3RhXmb7h3at/mIu5bCdX4wHstIvSLfJthtuK/cZyBysguOHkAqAl
rCs6rRFY2tDI0hOL/XSDdbnbFWEz8HnzAUVTpOPdm3hFiV714Xxv9SyHHmvoWWegd927bdVcYIno
cQzEDeVU27FrhpGSF6V/MvyJd9yX1IqVoeec3LQu3hr2CMktGgUZDDMX9U+oB/ozdkpsm8ALGCAV
KhBtxTCK8v2QDP5jKGBwc38p/bMMNPhUWu359/w7TcHfxs3MBBM5EKfLaoIzEOBYDWv3XuR0p7ij
4s7Mm2u9TIaqocTR+Y6InrrVVnIwo34UWOphXkb9Tdy1wQk98GfTSftvd9TDqRxdeUEm8c+ukcl7
2Ft4mZU/tymB4yF/Luu2PqRtpa4oPTMPphd757DDIL6BaF2+5lZJSiP0WOFHONiAr/sgM5AyoI6+
Yn0hJ9/lFcA8OTvLRxvS5rRrJ2f+yGYj/tRq8olTqKFO+MQK7J42QffizjLc7oo3vs03Nl+OG7aS
Nc3fvqpv2yJYHjiYptspSyhtEVmAwxNiw8LFasTJgaq65j0E1sDnjSg/EZQFG0zMuLXRbit/1M26
scjmrv5AlXOvBBb1D6fvFQufru844BnxVcL+Aai75RYnYEPpLuGeOUc5gtmrDpL2czEbAlDEEN0b
2nKghoegSR/SZp4uHXHspybs+dm6rqHINyCuEQH0hcnSQkTY2WCu77jrz1tyCuA3OOywmsPUlzyD
o1zvO9AQhLLDYeU9k5XsSL8V27nJoRk709y+B1nOoyYwwuUWG64rtrKf+g+tG3fnp/na+dQWxa2D
1V5s/LGyEOZmFqOYx/zpWndWLyIVmMtzsujwKQS+HkRMAgtQ+tRkHTHV9Lf6k0Dqcof0sZh6hB6B
Y3vHDSb40pwtScJiqYr3iiczBp3ZPacl0Wr8OTognbnqoPC2iSAkvGZHMwuHg6tZb1LW1/n3mDEN
EiX1aD96PHW20kv6F0jm2aMz26hvKNoF5N5W3Ze2doe9GS4g20nXYdYFB+zNK9bDexy8MENKxbWL
klXMt67TktRIJuehldyoj0TuEoQLMoE7d3CNL+54CPql8vb2HOS/8KhSwlGl7jMts42FOmp4DyZZ
hfdmyf0sClP8Xyv4nKz3rMNz6jX+j8IflrvK7IyfTVDlj+acdoRWlK6uYJv437iEM3lZEtVgnlZu
9eXAT3xZxmk+4tcbrnzpFtlWIALlOF6HvN576H8z5HruQse2pYIJOIvx7CVINbtSSXUwNZnMKu1Y
5M6ZSSzdlc4OQxAw2NouyzPIC1Y7ohzm1wUsHiHcXM78v2wrtikN6fvCaiS75gKGALQMcNt1kl1N
iTJPVtW/TaYmpUEv6Xah5YUfxCar35jrMOXJ85Q6wSnrJHcekQh68XzNMsZm9ZXNI1IRNy/6stMX
XGfBRnQ2i27dDBtbhd8NSQflOd1pIuq+a7H074WRTocAcRX01Bz/ig2pbhFXuf+x9cs33cR0aGhx
aCqdHkaOCGA/8RDdJGHT3E21m57aXBLNQhk5WmosrtqEiswRfMu9j4wHg2LgaETAtnlCJk72XjCq
I6m65J3jjCJEnj5kNbdm9rScphcYr1hwsK0OTXwl3SE7yJAo/5SQuu0pq+IAQqJ3zMZPpgd9spqg
wEDqA9Skp1N/rcV/4y4fy2CNtQbveWtjUoQupc8jF0jEPpwUf2trDotk76FFDh9L0H4t0uBsVYp4
fZwyjcmUWKQ3d92ZdsTlwAiU7Ic0ZaoFvE7faubWuxSHRtSygkO8pPA5A0Vyj395DqJ2mrorjzLO
iylTiWgkWwKt9BmQ36DoqiQCdHGa+InL/t4TydUw9djwR3EnQLJvArdc2E7g+VEWKzreTlzmEKvX
HoY8vU4NjUErn/vypXGm9NVM/jd7Z7IcN5J16Vdp63UjDXDH4Fj8i445GByC4qwNjCIlzDMc09P3
h1BWVyqrLNNqX2a1yZJRIUYEgOvnnvMd119z+nQ1D9j6yWWr8B5XZO3cWaDimi485gm38sHFLX4s
A7joe5a/S4UEdoA3bIR3GP7Q5NkW7YO2O2hLNkyAuqAhIJOaqB7w5iJ1nNd2Kvtv1dze5FGGuE2L
6aZGyJu5xcjwm/AD81vIuLFWGOh32OPUDYPefAL41d4mWa8f8ojXlmSMAeEIvauzEA623RjOMZ9z
cVu63vDYeczmUwvOaKUzo3ujiNu56gghbynaxU8wyfYbnGwYAgsC3Vlg6KyRsLuqztwNOKvwIgJN
lws+nYAfaOSiCqGq9xfCOtPIOePbWG/zC4G91Fa+rTE3IFOnuujWQnjkUgarBvTLqY3TsCGrr6Bg
LRzQC+bdy4LOe/TgxY/AZouCk0knKGRc8PCNMAY8EAs0Ppnj4usYNsgTWooMbi104PCcJxWZhbgv
Gb/T/Mw6VnxdTHF3IsmszzYxaK1aqMdo3nwOR83pZudiVKdMaR7j5xRWMAFtVYmY9GpbFGT14KpX
IehffIVA8vuoApePAnQcdSs4Lyw4fSvNhAuWKOvfQ8ewiPAv5H27H12AIRcif1d0xoO1YPq7AWA/
z5fqIcq87l0sOH+jBewvIPw3F9T/hfqfLQUA5oDOwrmOVgA3oCCgXqoC2ktrQDiyj12zyAZLLVoB
Mby7tAzIS+OAGvJCPSeXJgJc4bQSkHBZRsbwehiqXTw0CW9E5xOZweNOnwERKvNHZY76Vs128GKO
Oc0HLInhyaedBz+4iJsrFBxaEoA60aIhWP5cGZTZkJMPuvmh6KzevSbT27Wn8lK6MC/9C/FArc2E
KrHvpPfm5zXxwJrjG0Ztk4zgNMcUOUBXnG84dDZf/UvRwzDEDtinloZXZOLHSgXq2nDnds0IKVfR
0hfBJUd1BLd8aiRqDTLZCuiWyBKtXlBmzJXB84hJmv6JgnDireNX9Qd1Gth3WHfL63HprLCW9ork
UmRRw8rwkR8aSi6sWY5oO37eOEx8CAYrWQlKMdxqcKxNE9OVkVxqM4afFRpZ3aYrNUIJ2HBfhxlU
XSo3ZAtx+kSzKVunGEs+4zDI+SXClnfy0F6qO9hzUePRe725aVKn89Z2U+lXGdTLqNyWxKDjNsse
U+RAZx2gWN4Vl6qQOG+4uQNNDF3aRPzUvaqd3H4PjRbwsI7CcZ2y5mbC4RE1eQ7+CjvKx6vBr9xv
aWZVL25uqdfZLaBfh01knEsFu37d2iQA1oOk2VXBekh2caabI5N4xoqqSrN1MOmW4x0hoHpdsX8m
zhap8KtdT9W+oLzhNgsKRR/FpXel87QHkFQ5HxRzQrNKRJaeXBpRsXQx87wmLR2Ae4ut+impXXnO
8W4eaBMoV3Rm0PtSUGp2GAJZQ+VpOHuw7KTPk4/ELa4B8IZi1V76ZHKZ2tW2/9kzI3KjJzF1KaNJ
LsU0OrdgI/cepaNBFoxvvcsBi99k6bOZPFZGrh5ZV5HdYgco0m4mEulPCGgAwoJ3nUXWo/IUngS7
Uy5zwtKg47Y9O+LQoVhHtHpGt7j07UwwYGgD7u2uufKXSp7k0s7D19NVm/RnbQ+Jx/A1Xsp88kK4
VwgiXrwrlCz2qLXZZ1Hn4gamMFu5LNVSr/KWwMpdfOkMwobzUg9mT3xkgh22Gi4FQymBiomvmAY/
gxG8uOouvURk7ut+pfvQf6QPgNP8iCttNblW8i2YhsXqIAQmNO4T+L5D06r4gqZObh3VWDcFgUS/
l6fhUp0UJ6P30Ti6ecpcQTkA9fV8qVOBpLeKO29ah7DRQ2qkl1KmVDc4K+hXoqyJzg7vNIoGrTT2
E3WbjDHZPY/7JzfsS+FTfil/Sgs7NDfOpRQq+1kQFena3PRxX90meUaFlE9lwZsLcWtD5YB+40qi
bKrBX70PYbHr6wouh7PQKKS/MSR9VSCukmgHsiJZIrkUz+J3qbmvjJe6q0T29tXsl8CjTDwf7nrg
MUlcyKU4i9RdRZNvS7ddX5nT9VQYkMo4RVLiXUFBD7cwkLJkK8BC3QvgTdVeMRk1HJn8dsPeOWID
tjR5DSNZ4XXTQWYA0Uu6Z0hz5C+6dDqsO5ciMEUlmFEOpr6eLkVhxuJTplB4KRCD44CY1Hou94GZ
bpDbdu6Y7rOlfYwEFSad4FJKpgiWQue6lJWZQ4hYNJX8g0NjqTNrNcjKXZZbP/rUUF8a5Vkoj4nr
0oBSdiPVHQmGFyciMb0ysqqhb4bbJnCPrjbuQ44a6lnEM1UZbh9zgEmo/1IDpVH49AI7/gEMZPqa
MZA5wAxoS0DFtak0KZwamoJHe0KmpgMGXsIkUTp6z1Ws2eZOffic5BGTNMHI5JzV2WtlyGBLTZGX
HhMeItuAHCZmr64PsHhB52KhY3yWcTU9JplPxCUqIT6sPG670ynjUQhFEaYg0QiSGSQLFi0b/+UH
w1zzzUxU/jRT6QXzpwLKyGEtujIslk2AvpffqAu0XEl3KYeIMvu7ZdQD7LtJgoQL6xOSjg24gpR2
a05CbyibkdZq9ob5QE40/NLVQ/UlmInvRElqxeTIQvHQ1C33bJJJ3WOqhDWeolpXuxl9JdzNg9dH
6xxoObJMRanOLrAxTxwUX9+Ey6iXS9AhGoDdWVlKqcpML8l1JanMO7TgIljPRJ2CrZMK60gQ9IEA
Gdmi0ZreiUNupWGXm8qkCk3VczZ8sJAhlefX4pWZbHR4tiWR+5ByNMFNkiqIKo0bPjZEXR6ZRcN5
bZJhM9YmqyggmWldv1BTXP7wBZMzmxd0gLVqzfw7MUCVrpVMMkj4I2J/reN6PYtRruycGz0TZePm
+//uZy+din+3n3WhkFOI+Jc72nUUoXnEbfje/Lqh/ecP/76ltX9D/YCarSAxKIzumOB/bmmV+Ztw
qFjkIyXQZjnLn/zunBf2byx1yXss9nnHc61/rmkt7zfsB5Q2Mrrxo1ig/xPnvOcv3vhftrQXQrqF
QRfSOq+nfk3ZmEHC0zeBS+bZJYiyket7PbSJoMvIL7hnS45JybZJuZzgSi76oudRyLWxR8FmrHM7
pHZwwtfFYLFm0yUPNx3k9TWJ+OwhZSh9dGg4O4Zj2Z/dvIhOTe5xem4cL9/DAvW3nqxIvBdt9AlT
ZUbvI/7KAiyS0YGDaPY8h0WWr4OsUCd6yu2ei95FUhqC6d4dS1wOzfwQamaq2WCmybVaiT53trjc
mlOkiK6PwDTFjhu1Tpnswq5be9lkDPsCT8Qt9YYoBAh85kNAEvd16Xt8KEVZbFxTJN8AwIU3U1bn
GfpfP38LS9/5Oka4gLpON+8DhM+1j77vJGIxkcuMJGVipWKdMJ+dRzyod6RSk21B2pKM73gKTc43
FmCAdUyibMehM4QniUw1l671jWjomK+KUlOA1Kk4va4xdH8bXB+bfgpy9ZNWq/CJRR96e+L5IJ1i
D8jVJhQwETsHxcBnRFuZkp1hkoTiKuEDWNNEaa872A0nVOLniYaZYOMJOHObGRwVC8ECRWamXHEb
2XMqN5g9vBvtDuCbCjv/bsIr9PcN+ypjVRc9lD2wwS3K/JLnd1pS0Hk+C96HvmMcdgu2J6EhS1oe
3SG86dTgX41+Ub1FhC1xMGq6qOEyxqi80iN52hgEwnMgtWDNTBEdyE0auJskOmHKOOOvU2C6iDgO
RBeK8hqfQ48fxIcsMvUnT9Eh2klRjgcdG/6eQXhy1iJ0p62oNLsmT6qFGMfX+qmzpTincWJfB65u
HyOgEe8hYjVevI7j9akL+SqCyBirjxoc3hv5YhpznZje35WfNNVXS3dQeGcIl+k+YX31YDECkauz
DEalavCvE4gQVK/VKOOqiGAN8IRs7pVbjM8t1OBmFeSm8V1XieNslGU1r8gkYGhrt9wrmlMabJH+
8MhhmG1H2OX45JlooukwLFEGQutRceoS2CgUkYBy7diVhtEwPBP2rVCty/korWK5btOaQSAy+rVd
uUzPpuWbWMKdEZQ03TDfQi6u5UcD4M52kzH7mzHtl1u7x7rV05Z4zowFryLsbDRfQoy7ry5fOaLK
Nbw9P8j5ABWSNNbOScH3lTWUm9ZsBmvl1SqE7BzRKRq434NMzG9DiKkPUg+8M/lR9j7pETNNmm+O
N5Kpti17fBvRKgHngWrhXDU8joMGrqNkcEgdW1wVlDYSOAg7/tiLs209je3L3Hqkj0NI11uhEAuT
sSuvPHMGpicnd9nCVsUunSSh4VEFh2mKWAtPM9DjrFr3A5llXK8wnxjACah5wbMvQNoVHJ19ACm+
uzYsVAeOfE1Vr4cwZ8iaCzyXNsdoa50PY15uoeoDHRBRHX8H2R89zUC1TqxJUxTJDqlkZdhieIWI
b1m7WsiGeZTK2LdcAsnlEukMhIEYmwauUac+VxPp710BW5ZlxFyNG5CpHbPrUraltatv2f1BqJ3g
PB27vG1fW3zga8prP9O8T/QGMBREkSxzTxH1ntZWaQPQ8ezXT9SjJTezok935Udj/2IHYXMtqZt9
s3oPqC3VngDNhOFgJRwDxbkKdA8ZH2J8H22hskOYdx+wwmxA1kWPr0UJZ7GSZPUn7RgetV+NZpQu
umG4iTXnJ7x6qPakSpIExHeLDXVtw8SkAJQcjnegmCqCbogjUm6Y0NvvE54QCj9HD9ANYJ3Q7vND
kzf1VeDGxV3OO4X4X8EJ2ORDlnZ70co2OiDkip0du515yGf6ctYJBmQ4x5nrsInSoOP47U273fDV
rH+MABSuzK4UG8IJLY2TTJHk5LPioTC43NqZ+NAmG+r6LfZaiogqitXuu6oRz5NX4u9FBaWxNirF
k9/09atXJupKJXTdrCKvM7DuEHa/qzpV3OGx8p7qyeP07ScuXx+v7TO5myrwD5s27m8mWCjz2h7t
8Nm3NO01IHisH2ZtWurEvzCSGGccuoYiNam3bmQvxANKkKjq2LwdAjiK3BgGx33k3tRc97mf3A5B
KXaSvfBmJFjkrEejgf6aGbER4X7PrJ1Rl/F1MgXeC1bXYZWBlr5LE5/WBFFXK580xpkEbgGV17Io
VwKjZ5VR/UxzafpU+dBDWQq8VSaO+Q6ewjnNJrHRaSIPyCHmY03T7Hd2sPhemMhxXrKlOSZmwmwb
cTx7xLnknb0yfixL0zgHNLJtsM17tIozx59hF1g4ZyrsNeQhHEwrxNSiLS1xkIM73jYyvl5ic7ik
F3H5JmSygvxcBLsRsKiz671UrwklDIeIFupjB/TrgNFx/kBRgJUDorfBKUFovaSp6jqvQIpUgxuD
62jeEHbmPTuoka0Bvl3PzeP3QE8ITFg9vihvKKDiEwtnV1XsamOgGB3PnbElX6s2k45kQcQYefLG
g/3zNYt6vB848kYF/T5F8gQVYh+zkCYkELAKEPtiCakXc0hhNNGNj71529FWyjUXJhx9y5TjQGvL
vc0NaF2KvH8Ehe7f20aGu56gTRqsIuzO29Ic2vfZSoYb1QI/33JHgDBRBtFtaPaCLlFNFFLjBF51
+EauzbB3H6QTTfTAkSzZDwRI9oka1e00Yys7Fe2CuPSxBd24wCHfq8kP3jQs2C8ddsIfTQ3Og6cy
owQhuQq8n8VWYOD/aQA7O6EusnOMQ4bzreQjXllQNA9Ni7eBtXw5vYDoJqOTTtU5rQqjw3aNQgBq
3JLvLnqou+mSMHp2L26dwVelcTs6TXSyw2TetM4QBHsZeexqk1hPw9EPvBZ3DQi7l97giizyuP/i
sZDegz6x7gYRYRHCmw5LShvcHtzCC/f0jndv4ZSWS94QU5EINf4X9LWTG0EeW81hnlx7k5yukcDg
T+Om1fcMsAMGxMWcFFkd6kA29JCq8bJJjD1j/SJFUp39FoM1+VO82lR64YEBpDBunLrhE22aeM5X
U+59lrZd5asuEtOt0YPW9bEj7pvZHyFqDJ2x9dAfPmaOsdZGNfb03kXEgQgfFiS1p6r/hqqXqJ0v
W70b0sg/JHoe7vuU2sufvyUVveD17Lp/83vvUS62rWEenBcuTsDsdVxUZ8RqtOY6f3LS7EvGAm8z
LrYvn0g21ywqA5J9b+wJY/jkSxe/RCEFH3wQuP5LZTU8QYJqCNO1ezGU4TuXz4kb1Nc+SO8vLNLc
L33uVjccXjJ4WlP2atC/tlQLt+ojXbxqc8r6HcM2u+1RuT1coqwb2TkDeLoqR9lPB8o0Ibhg5LGy
lRuSP+0w6n8EWQg7nBIQHlfGwHBJegeil2iUfwtpl843nlzfDTwf38OQVTtEdorCoY6aqtm4OZ81
HbUsrfei9OOn3m8FYlCWvM4GoQrTzwO566fS59kW9c9WyjLPm0R2W9Bnfp5j2X2Xl4dvEyQo+LBM
mSFCWikRVgCoqfbGI8L52Az9yapDpOIo7913ehXrccsmJ5Jb3DaeT6JlIsY3C3mnUm9g6UAydBXF
U83nnDlw/gk/pelB62Q+jn3dctOoaSkkVyGcV/w2+PRIRqHAmHEzrGrTrD5so+4OA713NyVy4H2c
D/VL48/RZ1s7/iErUsoCrGW1DTgqPPq9brudNYxAmfOiC4+GTxj3mKIzH4QXjwSSSJ+tCCV0X6E5
29lqbDqaQiOZV/vUVfTpLk3p1xwJ4oPbDOJQjSa18R1BhK3lRMyh05I2iajpqDayyun+SQKH/IwJ
Oh9Qbdle5XkSgGBCsaTuJLDKM54YstnI4kw3Uid7xySSqJyCre1gWOJLyDfzMFhu8U2VM3YlTtkd
ryDzbKNtaTyYrKvPeWY1L+lYT8eUYA2jKg98PBqkvyqrdfiTHojtYIjyhLRUXZd+iI00lvAy12VW
Ju95mTXRQXRxeCdKUjdkbSuP/ko7Se61n/9oOulKLpd8PzRZcjaaGG/MBPgd+zJGjzAaLbbDk2E+
QvX2vyws762tZsIl2aTp50zqnoEEwam9amMHxplLVhkLQ+tWh7arzTXOL2o4vYx+Yh7K6L6Hpmv5
aBjjIS9Op94ZmquOJ9I7xnzoP0UctAGgYAHkpwABZcM16gLW404HZHzoEKXSlrLQVZNgK8C+B2zQ
sKNTKyTb8LSfP3Nlubt5HHMKnfMir7aejhp4r24aH30E1u9jmJY3EIq5kxhh4N/jHjGfcmc5U3Qs
dzeIUhNuUGU1d2ji8hqU9VK80BeHPvVwpMC0qXdhkY/PtmA9u0edL8lf98FXJPNFwHJnCFO+XYuj
bJo5fMEUS9SuJ0I7/Uxs/Dds8DdilqAK5a+yBv8Xynv+x4jBzx/4vZnPXXIEAl8JVCPX813AC79r
V/5vHDz4u11yBDbZN/7kH9qV9xu6lMOkRZpZ0paF7/8fEQNkLQASaFeW5zhAXq3/RLtyLQSyP2hX
CriE6fNKiFe+Z/Na5Bz+SIgpI28w4d/JQxAx/a0gXHLuwRIrk72J3EPAsZyzMzXXlN2Cj1DFug8x
ppKMTap8HXVe364akhUN6ktnsRsy8XnJ3NHlYTR0EO/LyTYOioF/KyzL/j7BW+O0U3jxle1kmoeQ
xtlNl1N8RPbYJqTozjYml3u/tTCWiMmlDcYorkfEoWMbBuONFvaDsqt2zTs47bEHNpuyFN1N0mJL
hNeWcE7aUlN1BQVtjc6mN3MzzLRa4PETHUU9c6PKnTelCHCpXnqacL2WtX+DA9m6pZ4n3NtzBFQ7
jk88v0goG7CwZrP1d6UjPyuUZToC248iT9U+rWIF4M6hqngMpmOCm/V+9v3hKo3N6NOv2akvev9V
YXXv3ki2iD7GZsdR194MWHBvVMwRv/es264eP2etnZ05TpjmEuPWrTnLJfM3H+OlEUr87MHLWMsT
jb3XtpdsuklfARncx8R9idHXxofNwL0LRvkJ+Wzf4oAGnDnxVIBZJAb5GPrcycqYmyoeJ3Cl5PNW
4ONessgZiTZ4r1jMl2w8rhNvM7TIcrEe6y2ua0XfqcFzeeCxCbuex0857afY3o8G5HKddee0qZa9
z7iwscMc6GFlf5sGI9sgqpv3s3TF3aQdaGUww77mAD8mEpt9+EG7LsM4ysOZ0yZTkzXYH02jDVpZ
anWX5yEVPaM74c3uWA/aMaJLCYbklFb5cN1E6R2rQPY6zQDGeKpoWqbdlS1kaaxQIrvPKkWwNJTx
xar9q1R3+doK8T/QZdvIO2idqBqZOqclisXgzl9UVN6nnglSfvDOcx4PR6fP4lNcU4LE3T8QZ7y/
ZPOd6YP6ZmLKRvY1l7q/Yew8GmJxZvTA7b54nsbph9EHxpOCFu0CxUuqAVaBnNfQ4qdTl3p3lmE7
X7qwba1rz+Phz0a/sGpqbIxYArwkObrr8kzHayMbQmZbP3NrrA/8spsMDipDlKt98LA6zrOtPSOM
wVtMQHAQDhLszhRJDRwPLXaXWEKRztwZe5ru2e6tKvZLMKA9tNkNB0UA2FTIBt6GpfOgt0Q1ycNq
owAGAUewD68NG+cgbiC/6taRSNucAKYdVy8GMlQccz2rbt6kOU80wo6lWosemePWYV03HRRbrekE
oDkbdiDYUcwgcDfqIRdgRI6pkxnljwoVx+d1E58roI0yfx0KnFG08gZEyXVAFfZ28sOSSoWeVqJ9
JN1JrEqnHtxtJ0z82kEOXOSzFH2UA3VkH7yxSjiZK2RJ5yvs6OmlGLhi/C4Jzk3YqGmTsHStV+40
RmQkxYDvTPQQR9duMvJ0dkoKeTdemvFmecDJmt7eav4ZT/DYuUI6xaUQ08ye4vp8QIjpvg/B0ijD
JmygrDGJrfTslkme7GZtYwwiQtyGt1HKgZxukirah/0oukUAY3lqumqWgALIzOwxNnnW0a2bLvuo
wZ3HO5/KbDBcuSKWaffW/F742B/rUUdf2C/Ql4NkDtWkouvOyrEZFlVEMd0UsOdc1T0I8HK+cg0h
vqZuHC3DQvc+IJDb5IzG+kaXbF0RSubkmI/u/K4cY+1EeDOg9T8m2JuibnxV4A02bVFPb8qhL2JO
o+xeJha3vTh0mU+K7gFKUbkjyqLeQlE30Up29vyVpMXn4Opg05i6eA6MhkRpsTHIc64ApnYnl7+X
ii0Qhg4WLzKt+XVHqYzc+0bAO9pPTb52Q0q9VhmB2rupyawtJkWqCMKh6gQmeATuLc6rbDhx137u
O3v08GzW3QO57Ex+gZvRs1H2PLXBA+Uyui0S5NR05vjFoXlmPmR2HW56pIboIfOs6JMubqzFQwwX
bTlExo8NNun+a1jOGCXgLnvzwg+msazm4GGBuD2kw/htpJtErVy+yxYRGlx4IqzmnRW0ycIX6s9g
LeM72yjCdc9+5EZJfT+l9DIGBHuQt029a7O5eDJm07s2/Gx8Y3Va3VeGiXTZk+R+bOdsup+CJs/O
PafEbwVHugMNWMMx6HPPIA+k8ncXSse90frQCUTn340dxrYVcQP1LRRKA9NPQYs0Bfo0ixYdsMzp
pPqhsrm+plZ9+BFEPfXosV96sE+M2mOfj0lyLaQLGcGDEZj9oC4MiEFiROZt2sNKwzvhvuSDkezj
nqTMDr+8m11bBecsGD7Rdmn9eSxDAsTrNh2K78Ijkt97xvA61EJXG4zLyMUOXE+QRN2COxrn+s4o
Y3kTZq1BFzr0ikcjkXV+XVSjSg/4ZW0qE2OjB5pjRgohMSQKlbQoUEmFinflWqn9WRpNf08+Tz2a
ZZFdF3EXW6eGgN5T1ljO11nzBCEyx03Sy6fw1e0N816MVggnYsrGm3KS/UYJzz0Eg49WEzrWKQpF
dwS5g+d/KR/aOHqg/9tLyybdqQarNwu0yWbS9+f2aYws4xacHWVimHlrzUk8m5ub3IiJj6CUFAN3
yTrDK22yYdPmPGXbKEOCb7tRU3QkZevcN0mfveZtyJeuDEPZ41TsA8mZz/dwrBLwmY8q0B0omRj4
5oElKs8/EqFucd87wsBz7QaRuMeYzXGAAoCuhwgv2UO2Ekzopor41TfDkIXpKjfSAYCjsiC/hA3y
83VcwM9c46Xt7y0By/DKrmbHvCbEOHM69I1Krat20SxGSN5Yxif9JcC0Uj3T67IeQYqzwmPXwtLU
3BYpl7wfUfDCKbS/ST2LGuSu9h8Jt7j3CNtDuCbl4tMDUccHauflwXfUCFM0FgeeZ/mdnLP8oLxW
7XsbW48/AZfYGEk7X+PtUDS4tJJSetnyKVT06lCG0PZkIxXVGSuwjYwP0rxtpyGG3BR8Mbng100b
B9vOxZrRZkuRnaXrU57E4VPSUu+QthjaV2aF3YBSvyik4oSnw2yUMLImCNjXTYnjGG+gnfgHqKiK
jxUcgYQbHdndWYjMvFOtJ28yI5JP9sCyaQ9cfOC07OLPWRGacul2IGd5ROKRT5PVQ+Mup4nuJH/S
+mGUyVAdLeCDV5GYw08ec9wsA3TrcdUPkQwPWWxCXuf88V5ZuX8iRJCdZ7s815417olPWqvMxyrT
FLNzXTaV2hTaOdUz2mMhKMJwafNbscs8DYYzv/PASB5CT2Sfla7oPkpri2YgeFVHZLsAEAwcsM8w
LBjBaAMAlE6BBvU1PKCgo0E5sGN8mluzlfaulp5JI6fkQbAfRsb2Gyfq/H1bgj5aQkjzXWqzJK+7
qfyo2ukD+04KyMKKYb+XpnDqHbsHP9hYmF//Fon6NyeeP2Wq4V2zq8VMdLQhVrPqctrmCmBD8viH
M+DfUu1+HqyA/PnIeFgMwOr9erDq57wog8AYjt7YsHsDJZ6s66lm7f3Xr7OYC/5pPlheZ/l8LSil
JidC/vPX17F8Q3SAw/Rx1oV+T5YnvNvNnAhC3JoRW4w0/k6Ujfogm6Y49TevLpZ3688v70np2b7y
ON3++dck6JcaVQNqwsZruouWQUAoAC72Mhz0Q5vdq1rWO9bn01s6leOGHeRrb5JDZ7qwL2MGpvxs
GTzwZBr7eTwTDyiPrqyJqpno6tWKOK9XrYwhzsirNtyqSujsgIyjslk5/k/EJeTJ8Hv5bz63f/2F
OAmzhFngFErQe/Hr+zlLm7xtqavjHC8kuhpwG3JKGRPm1ejsPOPDTMm/qaz/1xfFEICFxVJMpphZ
/vSdbIKAhR1yES8aztfSY6mXd29mQ98mUa/3v/7GLEf6Xz8yXuxijLH4m+hp//U3DH0pCgpFuuMw
w7zCmfgJfHcHFqX7m9/qV7Dj8tWUfC0dB3sMIod0lj//eCfCEbb/87+t/yOoFaiAYhfHWOeiu7Mt
0CnM/pajD3/9G1n/5v0DcsspkjERkIP3pw8tTGH5EKfIjp1tsbzVjBSBHqPwGvVDUsQrpGj3/hxz
zquiob1LBy3ts7IcUlCMfPoy/VUWNSVdo4P5gGLLfNhcZsW//qf+y3tiWYKvFsBLi7fFWSCgf3xP
QsMOu4bI2TGNItM7Vkp353FJdP1Nr/u/eR0cds5PcxQmuz+9924dtajo0Oigp3l603h0c25CqjOu
Lr/Pf0XBvxMFXb7df/joN+/d+//6fvHG3b7nsEvOukjev/0iC/78kZ+6IMxXvGI2dhzpohHbyyX/
O3lE/qYUn5hiw+PZLriq/68LSvEbUh33WW/hObsLlOQfsqD/Gz4Oy+QH8bq5GKv+E1kQdfKXewSs
EQ+aI1cFtFSH//25PH7JteIbEFQD6b49NFaq3xeq1QriVHCWmdGehtqcNhnmTYJ1Klo5eREem1El
J98sLMo2HfWsisn59BuTfKjtGTvPoqKRruLxZKRFtJ1tVv6N4wRXds4eIBznd8q7SMHEG6kFpVlj
fjIMNHmWmd4KA4FeNX58KycGh36On0Vpf+JEXUu6kq/oeqr3ggUGnk8TmkBd0QKObz/exolnPWVO
bCju5VF2JWe7uGGNOt+h+OcfbGPNtatcMBwxzileb7ir/IleDnwZpHOJZD0jxzt4rPpqbU863jR+
kH51MGHRH8yrBuSd8JfHS2LFhO9t12X4YuftcDSKUm5wJlKeWOQU+aYliVbqJxJrolK1UeOdNpTa
l+hvRF7akm4GGur1GdroeDBStziV4aC/UM/iLKYwaKdRlwjmRKxNzTg+xIkMb9vIpvQo6Mu9kXtn
YRf9U0dP0/c6i5vX2B3s+9zErVCayj/HPIvXY1NWW8pj4oc+ycXRF9Mz2436TCGK9SDT2jlq3usT
cmN83UeqeB6C0dyTbJQrJjluIuwum7pO3oe6im+jSEWs0WIU5lU5eP0D5KycdtLoe2AT+JvjxVeg
3frVJVG4NlA+PuAJ/piSSc0bzx9fIlEd0si50lqk27iyrPtepYAzFK6GxBv8Vxsu2TUNEPZJ5nTs
aE2vgp2arD3TBncaORXnlloMKqjmCrysCWb4o3J0va9UmB/bEchqGjXDVW7awe1AXvrAoidn2FSw
DICo3uAz+R40J0u8yoRXxurlP3DwLK8yp203c1B4zkogr2wh+YacUoyqmFd8CPk5dMv01o9mni3G
PFGinVlkXkhphDSAvVjtPN1mmAA22AmWCoK634S06a3BcgwbbfEBEdIX/k0+sHbESV211NJwutNF
32E8cX9oFp+3HWRiur9rf4fLfVxjnxmPHQ98uKLeE1yYeuOTxqGc2KNyeGq8R599167K8uzdjQwE
rjYmJ+u4RkDIOrS2SYOhq56pw5gLOkjGif2bMZnAJ3VpoiNCSQ1Zp95AX5wOotbePoPeQSjPuyvG
Zp9LDHzwTqqbAMrvxknU2unobCSsu59Z3Fd5zbosWP8/6s5st3EtzdKvUi/ABDc3NwegUEBLpCZb
si05PMQNYUfYnOeZT98f85zqHNCJqgbqpu8yEHGctixt7n/9a31rphdvOxrlJ4aJPSjF+A73HA27
vZ4+VRAkYdoSqEkxiNGAYO4skjJ7hsziDo6s857G08xdQS8YPeN6vMLUfTet/LOAjKmW9r4t7F/J
UFiPS5A6h0przF0De4/DZ/2KeeNI5kzaX6rlOrbm1RHxvMmzpvNq8Ju30KXOXI44FoKYcXGKyQGr
8oLNYPKtzii2ore0K0jB/jViZMH9ly77BvTsA54lYMxzIe50JL8T5U2ogl1lf3VOGuys0pLnppd8
mHRb+AH3jRsGTV7VyQRJMruUlw4D9naYqDvexwUdufM6HOBVew3zwDlKO6EtK23bnaHb5WmCq7hG
A9r9UNI6kJYK3z7mKwuAKKabgLvKoxMuaofvst0EMiSkBo6T1hR+23MKW0Zh69oIAuH71KURUwto
TEDqMfdGrxx9Y1rys0oELDtcHTPa2+rMIzVKarkMXsmSLFtc98STqe0+sRAuGJVG5xDlbvFJBKS7
GyOD/mU8OFc+5BXr4IjULh4wK95OLB1+WHFpgw2as8pPi6kfNoEZkQ0B9uL4UezIXTJgn5sICNH+
mP+QuMd8bHx7LYPoxAuBPEcvOA8M9TYU2lPfjpc55icPEnD3MaVaw6xYPDhW8gZuaqEDxUkIxHbd
rsReBnQ7c2FJYSL3JWzWTev2fP47DK5tDCmoK5T+2NqZn+qsoqLQ3WoFd9TEte/7RPXbXkYAUKR5
lywl2qvr3IplmO5UybN7owqzuxHXxFLXj79TR6aYCELhQZE9R0X8lEjLpL1TY5XsDCxTsMTRHUY9
LspbtZeKE1yJBFcBqTG/h/f6RWTsKRrsH1jeaJAf+AJkf2HJVQnHBnbQPFGHgRZanFpmADJU99os
aMhSrrXdejD/jDNXXTF4DHd89W3mULw5hO8ds/WUxc+McRcjD/0Sh+g2z8Lcb1dboMoCPGZTG903
mk4HOYTGo51YOF35yV/hQsv3FiXCi2snPfKUOFDyVN3CTGv2c90HaisGnBzAb4rqbVrs8K6mdeUB
Ua26KzW7+8pdk2QGUBwegzN9WWle7FpFhZG9tO61taA/EDTy0UDfemO4BEl+14/JchF5eC6byOAx
mxXbABWWYFUdlzpJIg7VSQCmWvPZo2zv5TRv84kGayPqcOQmErRWsm8ELThdnUimxxREg1i6I+AB
2AhOdW+YVETxr75IurJ1sIqUVzHDh3aT4Yge6nzBIBm/GcCCSz2RxR4DZdwp1u7FfhjjzmLtOHYf
C4+hrwSPjIeNI3vEaVeBN0LF4vFGIOmZyBqhGsYQzSMVlhu0yMb104yVwpsrsKsa1Rue6tb8Zkzm
7YWjJ/Hg16Lf1BBFR2Me97pRCG9x2EX2ZGG3M+jWm5ZG0zF35iXfW+EcRJ6M2ucKj/PUsjlzNNXD
qXY0vOoECKuSK0qoV19ZNU3PFco4nlLb2vVmxtNbytx9cszyZbKHx5KeJurCoksXNzurJ3BD3cUb
ChCl1DkwgSKVT0K55a5wCyriqZI9F0Eexf6sZ/ZbooAxkSg4hir9hQy2B/GAmRlgEP3eYzf2iI1m
wc7JpOOMT1YJv2XgwMB3WyYK0pleH0qyS5hArqke/eKB9jI2w+9Wmfs17nwhvo0fQpgIhaSncdks
gucut7Ag8lVh2V5iLfO5ak2Kbdrc9ORs1pdARbuMqrfIwyDbem5k9lj8TNi2VY3jmnUEa2MCnc8c
v879vLRYnbpBM4kCuNC1BLdOM7rQ7BvfEVPTvHgYcW0urf7ELW6+AdRcdhB/1aOgp1PlyW+TxTVv
arO/61fPTJ31WALb8qRFbCZbmp43qjVaT4cJdgqMuPPYzE8HqQ36FgjNR4L9Gs5Elt2PzswjOqjZ
ctmoHXVrTV65ROq+HQOBx9ysT449YCGCbHOqg+Qu16b6vScCubL8HM8Y8B1Rh6aNGxv0zLWpnerB
DQTuxaT8cLKC79dtKtohc4wwbDEp1sFIVXdvtdV81EOpvNgg/zfn9d7qoCQEutBeVZw7bwWiP63F
kfajMBsPy1pId/YcUxTES/dFmDCnl01YT+M8h9uJgITakFJuT7iAs0NX11i0Busgx87iRc3De9bv
1aPtrLXNCLuS1s3XKupIwcRO8w5lXHipqlGusRZqHDwrLmlMgU0EdcN7Jw5gqOQBPnNXIySfuttF
mWpfDX3wgzVE/aSzAfHqqA6usqnkBahbdeQONl5LIyte2QiST8/XDjal5quh5axyqYH5XebC3tM9
VHy7VRXsJxbbW6fmBk23mHmPLodZddGK/IM8IYC5YUnIYY+OcUcHVXwLQ2555DTr+AWWIo+MrGo9
g07NCxUP+j6UuX4R9rziR3FBW1HbHoMlF7gECkqQzQUujmEbHrH0/LdZ9+6FtL96mYXQNn03WhtL
9u27y6R/TcGR30pM+ScKGEHfJCIeeOkJh1RMAj6fmGTbtuvDtYie2sTcLY3CSsj2+aWP8IZp7TRe
bICJW2usi4vZkozPUVr8JQi+4Ms3ZAiryNoV2bzqvTLYpYvlvIsJRC72JHkdEfT8qRP1XdgmFvdP
Sx3mTqmfjKy1v+Sh+1V1geG5DIBHGgbKByuM48sgovigkCa3nVnUp5KeE54aprsDGOiAjI4fU20s
fPgCuu/ErjjFmmCxAEToYizNQ65HxHwmRRWV3eUnZ0m7eFMZ7hHLrbzH7pV+84PWfuBW9h3EG9ba
rFjgimTzN0XvvzpqqjcOQtu2Gp3QE82EIO4K2vQGZD/6f4O7IAovQ0ohQC3cs1HNqWc5iubbVMWv
sZbM3rhk76UzLFu4hva56skeqCXZFXqOr4TypLt1yAdWUXwRvdzDRCN+Q5mqHzTIVBU4mZcoMogA
2SyfvIjPnJcNZDCQcAqv7xtxb3IF29aGUfwIucAHzHLDS6gra6PV+i2Zw2BnBjtnDPaCPfEpyIen
ZLQ8OyQ1FMxcyXV9p4VivpC0rncdbSPkO6aHxGw/eXuScpry5AKmYPHU3BAJ7gDTkEczMdYKiQNO
L7AnszsRWYBprUmsB3Lm7wsLwJDz0890Q1/vBvGurDXNHyrN8JnzgoNDFtrDJdA8DVUWk91t68MA
297XaE488KRITmIg61YPufPQL7O5b0lLbwsVngdbkofhNooAOvUCsz0iOwxD2htY66+mvcU1Xg2D
y5PpbM2aJT0cQHJgJTj3LRffQ1Tep44DvCwcxvucoxDqgTYNt1YlxXvOup9SikgEv1hsLNoGjQwm
mR7VVBHoQ/KUN0K7TqbKu/zYmMO6748wTC784sGcpcUl6RLxkydgc6m0jDEXRvOWAq/a2SyxgBYJ
rumtl0vwYgBz8uuBuYX6A2L89CBO1IcRBsRN7XZ70svWtSmm9DTD/D6quVRXOZnmvh+M5pcF256K
3qiP30uae39NxMQ2bUU398Lu9cBL42KsEKRZ+CYPrjHOm8EyKawt287jC5hvzNLjy4BF5Ebw17yk
toF5QhTlsrH05kHyO30ycoNvBtP0S2iMXxUdOD6TUHyK9EE8zIL/hbfJ3SL1sn4kGMK2jCzeA09b
4YOpp3k6YLswz9o9aDcofnBJSUJiDXVFrW2ybIV2G/AjuaaDxLjolWvf7GzSQO0bFJAWZX7Wc903
mgWmZqg4sYYQZ+yMhdltJKG4rnyGt/3RwLKgL0Cjrj7+neIqPdo1+9ShkVt9nohgyOm1Zfhx+Azb
UsxnmHE/S6A8J7L10R/46P9p3XP/Va5yYPvv6xf+VYJwjWm//I9//GP7x5/ZT6wq4j/8wf+rovhE
G/d8/WpxUv3Hv/+xyVj/5X/3L//UJf8LRVOAY0SE/NdM5cNHM38ULBv+kDmPvxHx//hv/pQ07b9A
0dZ1AKqC4krHRLj8U9IkwGtJS8fF4VhYHlex80+ro9T/4riGZf2RwzXhAP9N07T/YnHcu65A2HTX
v/nPH/7PNQ6v279c6ygbO+XfrT0wN+KblFA0WXmgdbHg+UflPRVEGiAnFvtk0JwHVkCjvSP0lO+K
JUnegOb074ri42NhZSNpxZr8qJpMbOdpDT1/4JmSVE0HD5Cv4RH6cl/K3pFvxljYl2XRzR+xCtrz
aOjyCMEx+QTrKC99E06YeJvwYOXKZlLGzzFva9GZv9NpMYCQ1n13sThDn/H0YUeKcSB9z3NlnBvH
yp4NWuY9zNpE+CIpHttapl6Pk5Fwr5UfQySujQXB/gXnVXtqWCO/6FWUnNkp7+KZOgZoOsO2yGvX
x53hEGhlZrQAvG8UOf+thEt4hEEcED8Bvbd6y8OLi1lsH7dx6ZlTykWs7lNfkqm9kfWx8Zwn3aVn
i+W5AbbASFWbObb0e5NkxllGkXaaMuZcsG3DxTQGc00Wpbeh0zv4T4A/E9sqLrVhtuyPW+HbQIiv
WRFhq0C13JgZa+O0V5egbxC46ok1NMmid9FQScU1a6CG1TDBXdTpQ5bJ5qDSRd8SMEQr6Lvlw82x
28s4qXYY0nvPgN226UBj86zt1KkBzv4DAMY3W8pKeUXXAF6d6B57R/EIX7ohHN/mKGifXYSVL0oJ
F3uD/5x5Lq4Fq/9Zx99/ZE7N2x22d/09p9+QqwKWgYownD39TGYO2V1KCuSxcIbgPoaYcediWPI5
vLCc0YbkxMAQXdfDyjSbW94jmoMsmtXIMv1S3DtDn3+LeVJM7oKGFL0UuNjbsriXuUlDzaTqWzbz
ezHrXEfEsL9n7tZPIBaYLujlPKdZGHq5VnSvU2Jh8XPc/hWQXfxCpij02lq7kn2u7pJhNL61CcRI
rifcCJK+7omAhvP0RD3Eb2Tdn0rZwblqoKASNAjujEwq5k8ez5suKYVYvUN9ukbZ1XkY+gS6oiO8
eGnnE8Ov/ZBX7r7UUnwwhaAexg6H+4EylY8GBs1hNszxEMYOmsNcrdnvzDfCKTggTbiEmBfJ3ECG
6YGRcd7NljWdcFup90g2luOny6C92TxRXsIqS49FOo4/czZuH7CXp00U5RK2kePcjbJuvdgdvdRS
T/Ek6qscpnzr9qCv8BPVL+ju0b4pe/leDVXIBn2Qa34isAU+WQxIJg2zkcc/rS5hS4HlBiJyeEfg
YdgudlM9gO5sEdWr6jVwFaoq3RI9kinORfIGVbpLwLYGgz4n2wCn7jXU4DLjU83lg4H8c+hwHvL9
6vhh8Y2K8YXknH3qS/qabWwmZ1jiyLdI/g/xQj6mAlXsdxEutHawuY87dqIAIFaVdQYIG1OXkHXi
Cz+h+HJQYL56ntVnQ+A/8Ma8Jj+ijCEDjVdUmEzbtpm2o6WPP+ImKuq9sBwdGLLqUxudQrheTjSs
RlJMMIxIPMirKq3ORmH3fplJfddj6Czw33W68ioMjg73n6jyO2kP8W6xNYRrR9TLpuEofgeevTJa
pxUDs3LI0c+XkMg3EUOyik3MjfrULGN038VT+cawjTgwU1T8NGlD8bvNF2vaBkVo/DQbNSkgbm30
PpXOmsmSKRRLu2CFkXJL7O13+CcIRZEmnR8CK8kFG8v4VutEd0/wmKVFIKacj9qoq2JPQFyyrHJj
DSzBRI1Mpyr7rScj6vhu5jSPetU7Z1nO66ENLoGDcSrA3IDdm3aIVXNPiblOoLIwXO3diiYip6xw
wGhj+sbmRyIg1w9xbFSo/rpWs39I6sifpk5OfmgIMkWtNiYIaYWTgrE0VHmLrbW9ZQQTq3GzatpP
nYAbMazesqK7GFdXd6siXbuz0WN2fV51jU/oJGTkq/P5podplVB6nvbvcRNaaouLGTTryCoh9tN2
jrZprzFd6K0K6K3OqA8P2eEjnJG1PM1JZqF3dHCPWgAI341mFa8sJ1qAPe1MfbepUPqICGXXOKVC
qx/d9py55nc9a82Hit2rOU1kbSEbYnSZshKJieTNqVf99HN2BohYJlP/T7PXacEJGb6OuhWiGMd2
Zu1DstRX9HywfGEaaAALzFyQQ7abcecmLj9AY69CduaiSFj2TA8Wm5zkB+bA6Q4CTviiEx2oMaST
WAYbzNoLcu74RStyv5FrlfkWe4zuR9GozhqqOggKc4XxUGCvjuwa+dw3fBDeKhy1z9zHU5BSNh1O
uQAZQ2iTGOaeeXigQjwUP6gTjM5prpjaUoTT2C9ws74pe+B7pmkmP5HFNAvs1XSnbdrIbU8loIBX
pOrcPMawuqttYOej2kpXAiVvcE7dpwW/OE1mothoess3qIYw+11rNLtuphpRFMQkn5gOyh68rqy/
4wwVH7ro5tdRdwBdFiYRsAA2L2dvIQGL8KVZrrJWfHf575/aQQYu8VfIUeRLtPcaPuEduFVCSci6
X2KYFDHewn0Jl0n7wV09e6IAImxRzhTckE7mZ8lUDGcBH9oXh273kAQmuS03ibqXYTDnDlCpLH9S
W1WxXER34DNayRv8eKzwnIraZ4Hva4HSrDcg7d1Cg8EWOFwV3L7LPuKoWqq9NgzQFHCPg2xM4rKp
91gA9Tdk0v5WFnrxxSjv5K8gTMiZN/NoXxOQAMwd48wrOSRLv+kIAj+6Ea1dvFwWsCQzVONd0OUS
MFQSPY2g5Ucg8CPmZEyBKPHZJ7+rKYHj4VQvgKF5CgzICdAplmsKeK7arIIlQjwlNe2GFG75pNmp
EZKJ0PSXCs4e5Qa9abM2XaycpYYNYxwZ1e3v6fikpz4l2go/m96OBxJ//L+PtrFWAqVR8BZY9FPl
JFnZoWS8qgQZqpe+XTmiY+zi+I/5vVOs1j5iilvOy0SBN1hds72iYlXX0QnIPnY6mBaLCMdaPxXn
xziarXtGSFlvTZ5wvDPUbGOnXHmCpegrlucpBVMLYjQhFFyVMCySB0uoAJO+Uxiko+3yRatdFq3C
avWL1Uy8Im6W1lhrUHs2lVnFBEdD54MNuPxFlI5vK3STjlz+NPL6RjONQqYd/sLvkB2srHdfYmqL
99FSaxx+nXFJF5mcs1kFk0cX4rJPRtYcPGmrdJ9bgtKFPNFne19i8L0PwIHcTWZHbSrIiQ62eBy1
PyEa0Def4QD9zio3/wr6RJ5UoIWfCz0jEN/axb2H9HSBiKEf54Wc5B8+uP/pcfAc/+KwLL+7fxwA
/zrH/G06/P9paNQFHU4WLqZ/PTf+r6YvPn5FH9m//d/qeP7PF/gzL2f/xRQ0M+mONAjAKQls6Y8h
0hVYXFyTznAsMMJZB8X/jMu5fzG5fa0NCQZ2Gdv4G+qJsh48iVRD8OVsRlD7/8kXI/8pLmeT4nOJ
y5HYkwZlzGv67h/sW/SrsZyED3dcs6vJoWf782C3iiZV4KMdFuupz5IDumHVs1xo4HADWehr7kmR
gcvXTHwies1xiQplnQVOFbLMExIXj9s2fl9i+rb44E1z48O6CU8QjdxdgUVP95uRvpVLqVS+2qPn
6p2hcb2AiRhY8VKI0AJvREbcp57IfmlpgNmJjnAfVI3B1+cR/GvsmBB7ARL4QW1yXdVYqUFDMyhj
2C6jOz6B0kjiA4QjxEwDfrhxqCcuJ9zXBrnhJjY4j1h62deYVUW4bubRdy4wAXJETVUAmgVwJS7+
sVLbWqtb6AROrn9HMZ2lPqZ0t/NMUzOvBYJztkJwwrfa5M62d5xg/iUtrXusgD557ZQXPb0U1chj
G/ntA2b6dMRmyP4pr6z4HecQpiRc3/l2LHX9aeIxzx3X+OvdBVh/Ya5FQAnIyo3kEfHcWcb8JsZw
dYkvRkC3hl7GB8Ox+2QrFxb7G3NOAF5VLW5tIxcjMMRFw2+Sof0vJq21Ms57cTOalaUHWKAOd6bL
8uZ1AHt0BMbPKJu5es35zy213s+TIBpPL07XxMe6bRVO8PV1Sf16kQQJk8yOnGfORqznXdMkm4Br
/JtBCYbfzrTeMewcKQEvttCSRp8vg/nFNeuDkzr5/CCmiRxJbkfoc6HtoPCyZsXvPhLuoMMeinKP
e7GL9W/m0RnrPTCtsTWCYwmzeKtVKBtNLYxd0LfY+1GFL65t07EgmQbnxcRLkoqZ8lqu2pzlWIg8
6fb2bXCn41hpAsCTFrgnLaNz1UwCwk9OeKFC4dWoJPU5AE8b3h+YAtRvTDLHYmiO4xQCAcn0fK9a
19hOlG34cumKc2jI4mTxtrnmstKO1jSAs5YM8VldO/uc+9/GLasT3oL7CO8kTi3qCZfAOYODa8/s
LAW9GKDSWGOuvZZm9JtgXLYHw5K/xp0qLoNEDEZLTSgyLGm5ciO2VCSxHkAJ2j6Am/JqNybej4K2
TDNVi7+gcSWbKdKDH2E23dKuwhxBhfCRgMyyqW27OVUWSzVSMjDAJknZZ4naIxJ5q0uREoYKwTmG
BnaQIDN9s0BNYl8pNgMiaiy6/lyTxGO0ivTaT2bVP2dR9ThUzX7gmY5iregDaLhNPQQwxjFwAFDa
0i/usVhkjW7sBxiz4TxcTR28A0yAGxPdV9+zKRkF9eCBSP2sA9FWkIh96Do+ZVQR9F60PtRZZBdv
UPEqDiP5bA68/+ecsGQe/M4E3WJ94T5qqFlfcDd4p5fVXWXZPRutdWRwiWE16fRt4/voaZllJNL4
zVcy31KAsMro1O0uCDFYFRSoCXyCiDGdvVvmsr1PIjoFihZgVQ5rDIStjRdgVssbuROxS5JgIf5C
WZLEa3B2onT1lWjjLWUkIhOf4MaiDtvVs2EHMc72HTw1fiqn4okUR+uT3ofUbuXLZenIVXlzjoSC
wM/yc9CG3rPA8elbc909w6KD064HGN/iBIAvA/94cV0YZxYMft+NYGV0dfNd1VJ6eu/Up8mCbREB
YPc7QREX6Y38UbmzBWGsNRC8ZPoJtK/Y6SoBzBJijHlc+fbscXTnwDuBkxCjReuruXZeR9cICaZi
IfjjDvIvJU5LYUD9e4nTocJOX43WhIgN03blP5l+S+7JURLp0dEx2oGLphhzsDBxOT+0rOh+jCWo
LxI7UOuQRkCqFM1QPBe1NvtNBHG8D0E538/lSKV02kHs0Yy1JrNZf/tUTQoeU6M+2tUWj49T+wZb
BSZfR0RH1efO+DBRmMtgQCbthWKB9DrbeiEz4NSwmO4qNIzzsvTpI45BjigsDpj1Eik7uuC69lOT
Bn5QFVmvTKmwQQrIY4hLrGOp8OWrM9RY4xnrZXscR3ve95zvd4gI0y6LmLoXpJ2Dmmz3RDCIChgD
WLjMypCPfcBdFHC2ZxFSAzjtYrsrB5pnOu4hWKMUnRPUnGw6B7pWaS4VG1B3IbZqgdWjBVWMQ7an
R42kMxwppGB9Vvm9Ta+J7zZwjfWedTfhiJnuGGMFFZWAvJAatWuaWpU/lZ16yOdWPraYiW71SDWu
JC8WQ+PaiGJhXTgkonzIXUJTxKydB+x06rXQKvqcpQOEhzDTLurwgoT63PmVHnU7GTq3SBHGb9XP
IpnvBrf7KDux7yOKZw2MRpcq+RyG5uoC1b4vRYT4oy2Nx+DTXiOd7TjK0y7jvgHVSafGpRxJ6Rd6
H3+IWhm4qABQ9/Zw6rTiaow9Pk88HrCNpPWIo+Bgm4E68lhJMSHBl2zgyFDXxqL3uNg9fJm5agdA
9AG9K8C/3xJwc55uVJ/TCFiraUyK5ReXjgjemw+1XYtbHKpfdmlOV4hZzbcc+/7SdqoNd5oTtdrW
WVjWHp1emOGpABJd/EY8rd7o+yNLBwfGNfeuOeAOQaw1OJSVml7dhWJbz8316oM1ePoOZdtcbkwF
BsJCZcOLsYi2v0N+ji5O1UkoxYX1OSaBzWg3UOEUKql9DlHKhJZbw7glw68weuoxDak2gG9QHDcp
te6XzEg1pcbaWorFjaBkiF1Q4b7aZnWvzvYUNaRse5R4JusQ67ATXnWzM89ZwnlT1yPP+X4MPcuc
Yt+yNOe5Tk1cTLG0PrjV0k9Nw0AoDqNeZ6d4rDWD36aI6MmArnwdi3ocIWpVMvb1Bu7A2jnQoQFx
4Wh9DruK+A29T17IiVUBo1n6eruqJZe8C11eTiPhsU89k48btr5SY5O/8mgxv8AT9geuXqBLZgn+
UhJoL8k7G4y2Tl8c4FstnH4rcNMf4Xm/WCpJz+mcyktp5sOVlgqWoK0UzzHS9a6G1ntdtJQrj9Sb
4sa3kT6LZeG3W8c8mhbE/5PlwP+JalNRnUR27j5KqWbaNrTQ+nQKtCwJjXewhCwnbTEmG31Ok/cM
b9HbHIzfQ9Vr+lZgRzsIvdgZWJ84sVSi9mk6Tz/B8hBLDqaeHiOYfPlHq0fDTVSZ+RZMNsBDSGEB
FvcW2ziC1LAcBieXP5cUtjcPJfQ9CuyvsQjcj6qtp2cBJ/+eKmmKvKaC2P96C2dwTXRUVlPP0AUE
NRJsChbrV2+ZyaHS+q72JXufyUdopWBQlHE4bqmgmX8CWdIuo14hTxT0RbkbowjSO81M6rPZr6Cj
xRh+63mzwH7sWudVFHqDIODiHKD32oAYGht6+Gb044yfqsLTuq20pqFKmofF+5pOvakRAx8gMIkU
Qvuc0/am5rVmULhbYFWG3IxAnU4cem3v6fMwZV4ZoCmyBhuNn0Sw5vQwmWP0OSelEaxpzeFckc3a
1EaAKpLBq6HHkzs2TAYaxuaJ42WHv8f+zUpU3Aex1Z+ihLqePcu55aXD2gfHtRPtQYVoTUWrosfO
KpzPchLdbRCMUNP6llxD3hMVp7Q8YlvE6sNHHiOPuW3CwrpfhkocYxZ/zD9TjjrZdSGoWbaT4WOn
3OW502PtYU4mDntbj9jXTEumfXeE8imEyw3yv22rq8vixmDGZSaHc70UPf4GKT9hac7tjrd8/TV3
YXoUtUVoGiZV+FZQb+Xu0sgOjz3zxrcRD+hjOSUmRP1j/Hp1bE9+oA2EhZskrV8oXFvWdfeU+5mm
OyVVGc7ou6lDl2aH/Sb16LDq7lpW/g8Jas6V16e4jJ3g1mm1YPawqvnkRIvCa7i8VNiWacuigYAl
Qe6A0t0GWqx8EY4TngXgvJIugRFfGyZTSLcl78ekmsoHFnXxQx8b4aEGPY+t0Qwl7eAx6MrMzlig
4ILvjBU6aJcQMTv3JStiIgeqtH/Q0TB/MsdQYwcd30R+L2YiwkQFmktDE6TYxp07Pc7N+Gbo+m3Q
uvqZCHod+3SulvhGdL18HNIpOkDwUh/Wotn81Zx1F7rCpmOtxtSvJqN962vZfk+h7uQeqDLnVtLx
cVvMJHyZx4wnUTrY0TFv2DKyiXEiLEiiSHdchLUzfGFD7XpKfI5RmGhbwaruRzNYxomUAMsTdCo9
2UNlHxi1G2e8FG7UPNjOBHsqqperFefTRtlsKG1rcN5JrUy3husWNFFMbUdGJSvciUmyKea+2ey6
es69pefduTWMubQfagGuymMZrm8x/oKoqUf5gRu+OYLKKy+YyWkmdG2qGs3GpNSHaYkbWNQ2CLVu
rU2PWjPSwpGp8Zctw+43Sy5WHH3i5I0X98N6Y+Wc+GCcJdPMCG9vKUSsPezRmA4nNdpci5L5JRxp
kdnwEkMQcN0qYZZes29eDlofJgkfbISxAeyEhunuiGLaPUPkSYRnBlPJ1SyTRbgPNSwlcHvqs6OZ
0z6j+oKu1n56q0oZpHBFc4v3MKWMFGzG+ixRuzmP6g7ywGOVNtwCBibheD/V5sz9wsZ3Qhtf5QPA
MEpfUk/Cmzlzl01Vd+GvpVnkHZu71etVT1Bd3RzHEwwZp7lrk6zWMe0H83wCmK+FR4fy9MgPEOV/
Vi7XNp3yhB9T7dZfKh2do665xatSafTigqDDGGPo437UNTbewuz27BRhZBQR5h16vL9TgVluRy1L
kqwkr2za1q1D9xAEhx3+Mm3PI2lNWkB2G3SGsdywGfNhIRKcD231C4UTIqrlVuoZWC00eYMhMnSt
kx2jbM8sq/0C79NtmGb9As+FJBQK+cYNWpzLiM4lRmg3+AW81djEqmHJCwiIZ3YLqrCnOYl5sZPx
FQcSlKMpyl5NVxsudIlOz2VlF0dGR9KqvNb6Q2yPjucWFXUKma5OAx94lhlc/Rstmw+hPcXbmTXW
d0lt8YMyGvXM256bcGKeRNzK4ySC7i3sBvMO+XWh5w9raqRkf+zDqCC1jj3ASGtKCNWNO3nzNNoT
pShhaN5HvSwPBMesd3CA4SfLQwqu4LXsKJhovGAR6X3VF/FjSwsHMpW5iVoQP+vaiwVJYITfjhn9
CCYtO5iKjFKTyT13u3FbMmf6s1TNfVd1oBmXgnR6O+7dyG38qKxTD9sJ19PFeXU5sM5FVIHuaeNf
ZOmCVa3AwdBAIugkYA9l9Ccjgn6NFp/dBU5ieF1B0W4opuxnIsfivGAo27CTAXzhZu0BP3x36Ohw
97TOoepGV+3Ojk2WzO6eCkV3+3fi6J/OlX8r+vyxjItuDcL+U/aOKc5Ehtax0AhMK8Jap7y/i81q
HL+gakr7iHkXgxSIQffk4KO+VGNhjlvFW4j+OItlVdXLCkJzbx/H/H9TdybLkVtZtv0Vjd7oQQZc
4KKxGj2H9w3pdPYxgbFF3/f4+rfAVEoRUSplyawGWWZpyrRUkEG6O4B79tl7bd0b/tUPMmPGfpon
SacZZEhNLnGyqj9ly4nClgP+12E3Es6Jurp5DRy9n27A1zr1tW1nmnmO1dii7nRK+wv0R+Y/k9oN
bTV2XN+B0T1gSZXoZKOo/HUa4dDBdyfT8sWUk2UsjVqBrtmI5Ow4Hq+8qSdPdknqRP8S5NK+016t
jD4iF6pk+Yj8oayHptFvRdcrb1XALitugfJYqt7OWE4/fGpC1sLc4oyTo4aIAnanPtr4e4mbBMNN
mZvYolFindU4qfHBYJ+OSTzXOUjo/nWfV7kL26eB4ZSOGJMH/dQmPo/DTCZrfUieBHDWm0b4e6vX
4BzNoqU1y5fFl5LZDQ13SEWJRbBCcpWX4kv29L8kUEsKaqu+hFFhlNa7ZZv2eZBxdSHMoz2auloC
So055S9IABbLoZEt6QffDrdhmwz3DkD/0E2+Tvfa10nf+Tr1Y5VlAgi7eHyTwHJXTKn2dfQ1J2hN
Dtpt4InW1KUjNvrXOIGaZL5g8cOGHjv2TvHEvS/HdlcAhVpi3JZYLCh/UiIntxbKPLN0X+OLPU8y
6TzTmPN0Y89zjhcMTbACBZ3eRvnoYDzumYjm2ciepyR2rSQmi1RuYEGgUc6KqMvdRHmFuMGQNczz
VjRPXqCl9CsxT2Mj2NTnEjfm6KLlMK4VDvyLW1PW8bMUSfEirUmF1j2yRX8EisWLBK1JXjUT8+Wm
N0y0cIT04qnyaIV+VwIQWauA/qtPHCt5ef7r61V8if5/BOpZCmAWYyshSMo6BtCAnzLdbUYvgB7w
OAk5a50KZfCPeU8ur6503Cmpau9Km9iJ6xGsXBG/vLbp4jwGAERpjzL7YW82PvTKcsKggwJAvg62
XH9h6qFDwUAnfarSDheSH+rlrdGXhOxEZKABhv3KtIbrNPGu+wQc8SLtte6oke1vWCgM3hucYH1t
hoW5A4kU3wAWHJD0zWivm9ot9PbrTHhnaEPakQ5I6puwdWuqf8s1rl+pbBkZzAhaKIbaccdTJYYE
ObU8skvb3AbhXJTXmBxQeXao266wkjOQe/Ws5xqwrBxoyp2G3QvSFWRTf2hB0+R63qO9jXF9xc2l
PNtVPaxrTjLNUqIt9zRD6U63kkMS76dSJZzXapWJZGgW2bvV1uDoYrvlICmbMwWsNdUW7G9zPQLU
L6dk6WAZY1WZWN5zwFbheZAjxq2euq2118TBJkwhjfDUNSx2FlGzjqzR32b2bGo1zB7emKxMzBu0
cL+nngPBN2lVb8MkTHp+qJ0xWgaiSrOF1XYwX9TKu/E6J3hNNcPbNJYfrubypsuAMoJSgOEOg1W3
hzkM60cNtSukxYlPJYfOJHIgxTqBQosc2Ti+XYNp2M4uINzsmWxWlPcqWT4XFDetISyrKUQouoBI
TssjbaJ1dbTK5hnfUHinBLV4KCni3Xr0Lwdu3pXcmoY+upnqxl9WqaEfgCZ4LowuCkjZNax6P7DO
VqBF95lax9xFA4eCSJtXZh/qKnU40Gm8I5BEdYNfUOW6diL9WKT5LXTDYt0lCBTm15NoAuJxYyqV
f+on2K7IO2rrAZ7LGvucxXNXUTEvkbSvfZIG24g+s689kzqvnCpU3cn1i3kT5VFpWi8wSIKCJu78
SjaSrZXD/kp8bbJqXeq4bnrrgewam65MKIrEqdUzfYbcvTPC1nHx7KPuhVvdMDX/asIrDbiD59i7
0fYDZfCDsEFizdu2KAd2taAji38yGejmKSSIu6uSudG6l9qO0G3DuboE2bBonQmpidb5ONpGtglN
aUTAkMsq1PKD3uqcJ8ovTXeY5d1Yak8kbWgvavy72AmfaMfiAhERmyHIl6U3zXBix1oXGjZFfup6
LVm0HoaAFVGt5HJLQr3Givv71vVPDhY/cj/m25TGwYKbFP5bXdONnwywKsp8jCRq7RxfUtl6XcbV
sehuvv6Sv7UI/+9tue/ylP/8vAj/wSf9b2KMBsbAGez3l/o/oR72L3Ti/PJ/XtLiP345vNQwv6sf
TNL/+PrfuQ/zFtnA9aYZnKnmDfPv3Afczpz9wL/wX6bNY+SfJmn5K/1ekqW3DvzhH6jY38APICGQ
AIVmc1gE68KZ8e+4pA3zxw8JRTcGZgwVkNCPh85MtL7WtvW0ST1cOQpVcBrORCJyZA+6q8KIzXzl
eOC9mDH6AO5fbcQrHG0lOk/HZnGO5Y2BJa9oaglQjwZrSbPcsE3miJ/SeBj6CkIo+Zr1VseVTlCA
tkSC6Hkz7himdDKAwfg4cODeWIQtVjUHAPopqvJagwzw6FcefiArDzasZ6FQt9QzOr7j7LIJapke
ZumKZqRqD8beWAjNCV9gzpoHCyRdSF60gAdZ5xhY7YhmW7KgKazyjqhi0XPL6X09uiUp0LBxgNBz
nFofCycSefPBfrUekFs7cddkSn5pxjIcD2XZAYetbHEsqHBae3bubcbAeDeiCdKszWgJ/K5BVudB
wHNfFHQmB6YHNTTuGJENcSijjgMe7ajPGNGi1TBRs6l5sdwTUhrv2pgl5KH2a7Q6mj7qfIXpWJ09
OKk8ZZXRLgIxo7CBiR1kZBWvBp5YjniFsrSh2LrUxOlLp1arD0rJ40dLjsWjHzotgLhCPFlzuZ2r
ygBHZKpjaaOjrnELnEpvLdnkvd6CJdgEFnM4yLZa7nqCiYDio1C5U6BMDExIlsfXtYnzSUAEhiKa
JvWfRIIPpuoXLwqwC6AJRkegmsMIPRQJqd0p4ruEtCD7BKurZoUFlaXDpIsVfikCrok5LoP5TwL6
GWOOO624mAI/dNnzLixFpRcPkH4Gojyc7vz7Wu85haadwGZK+szSXDbMPAuM2PavU9PSd05aBmdJ
wMXVisoLeLvnOD9kwBw/ZxuMZw+i8ALJDcWWbynOFT/iC/FJnLZSwSufjaUEpkhREP1Tfb72MJML
jmdptQsMZVynrBg/x8LkZ6pxg2Ov1QIHzYmPCtJEX4qLZdbei6O2BIjZPfCPQRPE4Wg1XAY0Z5pr
vdQyxNGGDQkRz5scbhyGDqfQQhABeDlJOYWX0Ej8Tyz6AL08woejCHEPylyjqJWdW8NjrJ84/zl2
0rY8nxT13ZPK+DLRRXKv89fKZU6F4Kfq4Csl5z5rGRDKalKhTH3zlrbGv1F0RDcJ1FDwuURZKIg9
JSLPl0Mnja0jUcfXArHIOFMlWdCS3iHArlBWzWBRwlwCXGBX8lYPrZhMcaGkpMVknYlVpJU2VVZD
q370Ywm+HBIjuex08is6lTLQcYrqyb0G+K7m7OY4F8afN6grxm7UcrSVbEq2APuay+DL4jgQBlxO
WmmceVEcw9XsYnigSNh/MXTASqlZxbti9JpNJVpqaRITEiaBUHFL+JJdtz4FNLMxWfI+DVimDzj/
+nzOvoVzcNsB9NGzI9lyNvNvHVEQI+gK56MSLPcZyRS2iVYYvIZT1L/61L6tTZASHDT8/hxmtbIH
LpCe4dhi1wPDAFPb0Ebjm1KNOkOYpXN4TCc1P8IzVfGs5P43vglxuECFRBBpODYNh5rtuXELfZGp
lOy73dJYGXZ2cqTxmkSl4dO8mLU09Vh1VLI98hhwClY4Lu7JuAMaAO/C7aAekBDX8z3OjiJZ2tb8
rjWW8I6IGcN2NFlhBhULstVAa/FR1pyb4dzM82dZWXUxG8rVF1kYzj1BU5CPNXl9cOA3Ywa80mdE
XXSGna2lYmMXGUic35mycw5pgXzmG0b4lovA2LdYGFZq16ob3cDjCNYgXCHO2Fhv8ngrQkUuExn0
K8kmbMmlTpx3vqdnI1b0sjGUvekPxjMlG7AyQxKcG9lj/4vHJLxSuO+dUmhn104NWxaLQ7dU86q+
SO7z55JoOQp2bg9u18YEmPvAOMMYYu1UK8GHZqH8kl6Ju1VLs99hSodoS5lguKWFlG47w1f2TJ6s
dHqR5TRW1kO5LPo0OvkyRajWGJPYEDj1NorT8JIqQYTRpbnhpOhQyxBxzeKKdcQzz20in1VMNF7K
0byZVOyjeFDgBJeOSmqV9prs2vCa4SEa8uAzimL/goXRuxMFERyujt6hTB2ULMgU44oyYWrz0tR8
bMOoWqL82S6H5nRrGGRdKH7XlDVJeA7o5NStm3TQrWNSTeYy0af+2FWKQbImsACvRJq3h0uIX1v1
e8y6Ybj2g0nfNUrnExHSmmZtKVFykRZc7xAG/FcIuPpQJbmIK8GK7AUbCR12DXMCmBT4JLh3huEY
hCh/UAkYGLGoHic77Z5F7UdrAKV4pHiKbTonzed7vB1Q6emxVUGCyvZlrBdX0Dzg/VG7JT70Ls9w
bXL7nV0BILJtOpnK1q7fPOqEab/OxLpD6dhP9tR+pDa35Fyru9vK5zG0sAxq5nTLt/fsu+IXETrk
fzMO6Nd+TOzCHZMqXJcSZKdfmTNayGDtXRdWe0Dc0Q5dqvZLFr7tBmNTuBmNnDudwtfsQs2Pj3np
DefIDsxNM8HNqE2cIr7flPden1VuyuPE9TNysDFy+qWX1cQy27Pu6sjpznB29e2UjjyvSQAebMW8
ClQt29UzdWD4AhCA4LCObFj9179/Qv/zs/cPEcX/8hD/b3hC532k4IhOKDF7R3VJYPCvzuvLl/fq
5ZeX7P2XqxfKR3/ZvnQfSfjL/+P/WL6kL9nXv2KV8v0h/k//it+O9Pqv2JrRfmapVOWA+MeRnnCj
pUli8jqB5R+O9EL91TI4/TMHqPzYpkpc8Z8sN/VXFYMi349fZ/6W9t850mv6j0d6fnBqUw2hgpCA
RUou8id5CipEH/lUpXAeuads+eTcaWt/HehuxZrbw2fphjN0/aLfU7DucHlG93UZrsP00RuaZQgc
BnO+q8bpN4fbaxxA/6mBw68tG8sahwQ4G7vAfh0H6lMKn6RKSC7kG1SLFexoc6FOtxwGZpDJNXWB
a52bqv1J+CjZeuZdJ6789yCj1kYeMdktsh7kS+t65meaATWvaHBTFlAkSIg1Kf4TChrSbEmzgJuA
lUrNmObJoXUHI+IptFHNiHIFrSEH3iZXAyUObJbMrH+FsHxfN+oNMahgGXKmX0h9LFa1hU0ie2uS
axMFivrxuEHKAnLikzhHcCE9iEP/TAcfuBuqIfVqPZtiFQPgHJQdOpkAz7BdJZF9XbdVDHm5WraE
4GcVLNHgGkH3XVDk+SFZN7tZaTyrkbLhbVp1ORweom6R16+NOl6PxuhWNFxHOFnBHp3wzbEM169w
sL3Flgkjkp8VlIZcFJp4GMLxPlemtUgR1gwiFhHz4SIwrRRRhu/qB+EZq3JL7VYNt8gOr0qQP9Fw
+u6y+RNFAdLsjxuCr+sO+RNpQWNu/DKCf7+riDu1poZUcbhnpfdVo+RY7OozB8ZtAJkfvbtcJpa5
b+Jsk5CXS4cN2WHYcna7HIHlLWgnAMLlOTszTLakaNZh269Zl9M65uln7v7rYeBIaXAIx7q0LPXw
UGYHFX5VVWQHbVyjma0oqmT7ON3IJNjaVr+qNOeq4S3Eqv1JYOwi42fmWeyukpbydO1HmDS1AKEK
HFjPGieqjwSGl2LIZ3DWtpjUcyWrdQcidFSdIwjAE5S0hTOkmzRo7mCM4+M0N5OzN7RvnHjgd7X7
0pwgxADzUoCdY1wb2EfxqaTdZ1104dHOTlaZbBSSM/h/XtNm3CaJuuWp7nMt1Zh22uk4Dc0K1fIF
MNA6z9Bj+YaLlmbRBXv3PbcLkAf+VZTdiao64X/e1lp/lw3fgI4Mh4LlsxsBNXwuPZ35M6A5LNJX
QUG4P+Ij0ps4wk1nW+rVuzrwM3ZYif0Rrc72wLw4aOOHsp+Rh9O3v/6YiFk8+E4g//qU0Pqpk0Bi
7Y9D/0dxYQI+CKY/81bw8j58pX30ePm8SvtGT4A7ddVes6oL1fRXJDCv/braRf1wFVJ8p8U1xIrS
OsbSiZZRXezIwl0HApUxbC5kWzMiSXACg+6zkNm/+HQb+s+fbnSYLzEGOYamHvXn/Vdd0HTaaZG3
Ki2izzhI9x5FihPmJFRMsNqJJEEX2Bs6o5ZwHLbMuumi1FpcW+uhYEkZcGS1lEnit6aCprAsPrO+
WOUi3OI9FwthJuDMulturBs9Gc5h1N7isL6f9HnrLd59Odymxkx2s5tlHmD48UIOhJXZ5KvBtrk1
duJTbQOQfU2jEBHusQQBIV8kRX8Juu7c2y0OXo/Z3MxOAUigNVH8byU73YUed3emllwj5SLnSFLR
Cuw5qRd3NOl9smtKXDs0P00lua3N6Cmdwk2Ftxqh8hOcxyaAckF2axH65a6qjcVEzTDlmg99qm10
CosXVvXaB8puRAXP035VkyhSe1elSx5tgI4KqvVwEmI2WKWyOakKa+GGp0ehCkqxnK2CoQPxqX2M
qua+5HRpZsYTXqx7P4SbKbJp2SFaTEqz1SPO0b66hQ50yxyxVf1pgfjy5qnFbQJusxW0gQqu90hi
AyZbmKk7dJ8zcMWlSOzbVIMb1uKUbVVn5WiYtCnE9AN1zVt/xGO96jGU0rb8mAwATMi/YoVy5Xhi
iGswLdejXFOCinkGbax+iqZbz9TdOLSXQXtwCDdHmfdY8RJumG9Dqtxoss3SjR3jd+7hL1V68wkM
2GVzeG4hpFJ5+Fym2KqoRMy2M0XeBUpN84tpNY+UWtzQdlCBfiHEW/UQ0YrujJjwViYGOQDxSeR8
5ynOo8G04Sn5O3rQek6WA233jjSx8BVdfm5KJi+4gVFe3Ka9eYn96GCAGgN3SbHFJEdKZ4APKc3S
yammwEfk+XXGk+kpEv2WI/42BbK8iLOQStEGbl+QPRGRPg6V/pDgpF1I80lO5d2Qtqg/UbsrPetz
EvrBawNz1UMEXSSaj3ZoWpCMxnFZ+XayksZ0jNlD0Z16nbIz21iV+mLQfLHC8n3J9fElJnTMxrd5
wp5C+wbAAtoqxnNlNPfdZO87wKO4C8MV0PpYyAeW5EzH2uCKIGLoMwHMtQd1GF7TYXKQ6BII8/pW
6QemKPWcmiQ5pfeQkh+2K0z4hnOBSX7y4+cJiSm3W9fxgqu6C290UIMjn3YjKj6nEIMkr9gwOLfD
qD+KktarZtpVWnnxcJDG9qczqd8Gf1hgclprrfMWGWIZpqxHfSkvnvORWjwynJWhXFX2VaFdSf06
ay9RF54rJV228OtMnfU6qKPIvk9JKsScOvIJjz/b5o6iYxF9xOG4yXrS8fWT5dz1khzhYGBo+3TI
sGviufVvLR9YnF1hjrshXoTTEfpVK/i4KKdIvQwCjEEwHVVS69aIIZpnVGgau8paSyNdxV8d3mxW
zWutf3NkQQJFf2ooizdHrutYPNnOOR1610qAbUFQ4175CEUjdttQLv3wtYdqmbafeF1c2ACvg64n
a1Z4r0phbskqb+NQe+9YypHHhicT5zASypgxlAC/GNnZOLm9i4KYjTQ2RXTO9CEc8YUMYjTelUoQ
iFdsVoFgUPt8OtB1fhf4oIymSJuRqM8UKzziTb+bhghqKK4pIhehqxOS3flNjGMnsbMV68p22fXZ
W95OG5AOW5x5C2L5FZMnxyk/GG4V+mLo7EAlInqaRv1Lg4LMlnJngmRz24YaVNN6Tbtu7/TBhz22
d3hxCreMxDYC1gSagKMJ4SdSWHPQRBCDj7rmjuGco1264qB+zAv9E5+sG2kbvzH3hpFDPapOMYs3
jk+noIR4OzYbWsMFbi3dXxNJChZGL5VlXzpoPLIiW2k4DShRrGP/N5g8kVgtx7RCOudYRCqOwfYu
VNMnKgMRpPKAUbwGjRZoe14b1pi46Bei8KjpsqzGtTLMqipebGAX5u3/1Dz6bzhpCjZnfzlbntv3
9i34qKrx++nxty/7x7xos7JxDEnpnypZbCBK/r4CkkQcdbYvkoit+Me/+W0FpJnMi4L0IYh707HF
vL37bV7UmDIFrHpH15lDWTb9rRXQz5gc0+QKYR61CJSp/M/5TPSd+0gCv1bboi1XiMbPmKXd2uZQ
C0recinu5eZbtsPaB5BaZPrbX58Tf7IbGT//1T/toESkwYpR5x2/Ec/XGpbqIJpYhXqvfUkt3V//
beLn050FQlfTGY6lSqCTPOePv2nkdZEJdG5c03NroBB5lK6zS1kOtmAeqwvaYiMYotUI4yxpSXtY
neXGBbyLzmyfEKZIsUz+Q5TG57GxThTCuTrGhEWjeo9ghiFBlGSlwzw6gFGrV3/902t/8uNDRrLx
+82aBx+o+Y387o3ChlBjUC0N2vyafGvhUK8XGAWBRBLCZ+U2UVNYgBacCEmdHYKdt4Q2rsWAm70T
Myi7LZ9g+PluZKvPipEdAx0qcB6/+lYnQZmEu6ZkhTX0/FmRYrbPZu3N7+2NmUMMce2x3PmlUO+U
TEVW85IKekuyHDt/YU03I1j1CCpoJ4OLIaOtP/avNTuhuA9WXUtfu9c1rh/GNyyjLkUy3hrl+zgv
tmBnfCMRO23gO4xLeAMWioBDl6HGUYqOnXYnAjwldW0mS2nzywyZ/mBUmr4RWO7vzFi9yRSgi5Bw
g4tOY+wRsMz4EqUNEXInGjYDjq+DiADfGSWO1AW54mppaG1Iu5iFWg+8eKtasb8Gf0MD9Rx1xE3t
HbGlTgvo5vW57xi92J5k+6bO7W8IPBZKH1EWm3UHToGZhJmZ5rch9pyVhJD8WkjovkXbqPtOO/Qi
6HH6T9SHqTbPxEiP87U0xbTP6PNaqHOxfZfRN59ZxXsYRu+hn5s7cDgOu6ASucDU6PgqSDGNAQNJ
8oyGui8R6f3OxOPOWyPBpm41xiO3iDAm9PDvlklalyfMS6uhze8goGf/ojdFcAP6Yciz5axambrB
R1IQtJ5lqO8+j5TzaWXRjLSHJgkpu1BOOV3aZRPEbmb7BTYSqd+BQhmOU9Aq3wJPagybNm4mLyzz
o23p9wB8GQe97ED+x/4YMtiqOs/BDawS6j7ZZ14CPY8f67JtSdV46uf/1JPov6eM/vCn/heF+AXT
LTfH/9rgcP0e1gFukz/Ab799yW8PNDL7JoZVA2SHTXHFH+A3W/t1fswZmFeAY6OAcpP6Z2ifLgse
dM5cd0NYl6faHw8061dEVI1CHKYtpnLp/B0BFMvqT59M6EFs7eHP6QihLIPmT+53n8ywM0uSws20
LhIQlW6eyiRbsHtWT4GFg5xVl0NeQPMAEsogXYkk9Y6amSVrj4nvEEe0WlGBkIIr0kOnoL6d61tg
SSKH4rGu2ggS+qdBA31OWJlVBbM46NIs7CmWcsbyaQopem5FnpBTQaJK6czctmnXrDoIMlsQ1tk1
YQuDIA2ua2cpdYMwRxpTZckljm2JRXpVZTthJ8YhHLDkLdrCqFdYq5QT8CC82GoMd3ABPUT58BAi
04Xda85r6FBFDQXHPuUyCvdYOFVS3vHExSZ187FWbYJIGlxOnuoFtZ2AmJjwl0JvKUSMsughapLn
flLDU1iFd17FflH6aYcWCxvYNKeAkbEMLrDVzFuOrclJDSOxGTqlXqmsSBch9vpdNyokpDuVpVKV
rP08m1YOLx05lShwFUJhFLYHmB0pJHMxo57sfEgOxJkwZNfxOy2KctGaeXjxbBntMtJaKwg747cB
NMIxkJM6k88Z5NyQVC59p7au7+O55NatVR0USd0WlJjiDrUPSuMz4PCikQGCSjnffbDIpYDLLVBR
PqqfOdbDxemSxNnZWSjmfKpfXvP8HJmZUlG/gHHoy12PG/Zg+qzhFgh03nVup+TQGVi7udWSI8Sh
L5grWVEWAUBhy4Atz37YOdcdKSvXbCzDXmcj6656YKnn0dXA8oxILeUabcoSzjRqOv76OMKmVYur
sFOib4SYySfUfbbJIiro+JW65FL6jn1fNLVcycYejvSydtcNUWjeSiarcWEMNmtohufu1tbyADJt
qIvHVvbmQ15o+HELwL43DgbwaxO3RrqUlZdvW2klW6jtfYHPhj7RhvrU11KG0U0dBvpKV5irVlEI
1/nY8yt16zbRcsLNSeUxkJrhJbBae9tYsbo1Y39YpzIl9e3FXb4tCys/JSJp1n53Kypo0bLHW6oE
D3lPuUUej91V2/Aaa2jzz4NVtmcJjsKVxux/rLLrZtCogBmBQbfDdBOXiX6KYFavMSBSI6+l5clJ
pJ5uEvbvXNWUu1I2X4HaocuA00xRgRldtU5UTYAQBrk0WK5+WJH33OD3P0alnp0YoQbQitQcoqVZ
cKrhiB/zccj32VRzGLKF5l1HNQtn2AM8rNpQqXBG9FrI9lwNrZssTOoHDWJQ45LUsE61o1VPA9Us
6VKrCrYcVGCaB1lQUbUDFV23u6yki48duW6P3wyVN+m2tlmG1zLL3xOnzzmlaaVpFjwlKQOlNqRs
Q+1RYRwddkEEjxNyX0ckO9dpRoGkgaJ+zMhFRNga9JC3Isfi2bcWUCoAk9QLq1o33ge2qi1hl8BR
EgM7jYBgG0UvcQwCCet5hBjPbRoZW1fjlSXb5DEMh37TOpUiXW72D23p9EdNb+orpVczejWlhOrF
4QCHTjKo75YVWZsak8UJ90S87gLFW3cU8Jos9yf9OteG8TWrPe05qQj4WVUjtwNXEXfYwl8TI0CK
DIVGLo1S8ZGNEdU67z4BqJvJML2PiHDeNrba6b3qh25O3PCNNRpQ/RXDNGmlwddlfQcwemYEW7Xt
I1BiBriMdWl1K6sGrrS2Sv7ozo90jRRI5fWIVVlC56fg8Db3OqTJKUutQuxSrFEQzQUeUWRpf7qL
WoMkrB4YuMbmdV6wrG1jLjGRMwDCrp34NMhc4fHi6/g8A2aniQDzPFXnm9HJJ1d1QLpriX+dQEU4
EnLyXUJWA8WpBhKmzoMHQ3c90y+iCYnBMXvso0OKHlX195IQ4rHJHVbSkyGKby1OatOtYi6JRd0P
8C0tQnQHX1HsaV1aKZaJNAFavo39rE9JIqfjm2qUEcGoeHReg1Ih41dE0OIWhYUJYDGWauZwapv9
WaCsyZwYoTRGnMJ5cqktq55j4pEVHJA7g3CJL9l3eILlWXht5WoFOi3oc3JlhQE1RBj9iSYPpENp
chXUSnrIMXBse5qdEeIi2ioidnYLtQ+IXgxtQx0u2l/ZTBejY0hFTPLaW3WIDWZRpcY600QV+lma
dRbjyRSbL5UPTWUZ0y3zWLWyBVhsFhGqUjN1waplPWMCo1ITDthzhwtEnPHD1xz1HptDf9tQvREv
825sbolhOCyZCEcMijAuWl0aj1ApU9o1M2NfSyAYMiIn0ffjaXIIyrutGSAYyvg4OdNeNFywC6w0
03ua5OxdWn1GsompNiUR85Q0e8pbSUtrmVbjuq56JdsYiaF/cnAa23WhgHi50X01uJeB3s3fXbUP
sYY4uYGrpt9HQ8T9jr1FU+xLoNDVqkrL5lqx2sRDGhPOY5E46VbLIoO0tqGW+pa0OGB3T/EYaMyA
89oCA1sslzWVF4BMyLyl1zXkMbZPKPzsj2L1ugJlMZIIaKmwr0gvcoZwyKSoVtIiT2cpGvykLHPf
m3BP+LK+rSdDeZmnbdLpbT3nOn2fG42aBoYLoaEsXQGt75rfutx7ATiMrVmo/eDGQVt/1EmgEqrz
CTUuPJsN0jYfmxn23+pWAAekDGsXsAU3bHPSlBqDY9ozAqgFfepZY/bAarTinfFGxohVHSW6AdQ5
1+jLNxvn2LYoJ+utNegNc+3BsxWYEwqBV55M04qOQipookj1n+mIqI5SjbpHJaSOmaBCHZ06Lb+3
+5L8cFKHPsxay5IHmgyiVZR2EWCVNHtXDRLRsveqpymjvbIqY97zrjXbqyEuCGDiNmF3k8cD95SI
YTYx7XhcA/srz1E4kXSk7lqhrRWIHZvOsoTe2MYVIojqaGzrpegh06YCmAbKr482A4dUMWz/vsV9
99EmzMmu1/VJvsrbHNRnOM0114Oflktqq4uSu3ILZbSsjbnpXad8xRNRii2q9R7gyQBhZze/Ya8k
SGImBa7NERLOGGw4kG6JeCFxVlGUrSl3huyjTuBg4gHkLJuefNGnmYE5zOIWGKZx/QivLl5hmh9c
nvvcTwhjib1Pc9y28ZPimMPZvSsJQdAU4aVLfNIDbEIzSdy6UstXv0rtEKJ6oL8Nae7CdF15cT49
B5750YXsTxUsplvigh2K72gCVjdGm26JNjdzakDSUaWMLZg24xiIWQep1Cfqpwb1MShzJV1Mgy5Z
LJv2joJPGIN6BZRxS80o+47eaQX4SCeLXwtWb9Q5c4NY9kZOH7xpB0rnmrlTbCseFySTfDz8tL5d
cifsHzBvlQvZJ6Lf1CQNWyXIDp2wcC8gogQj/QqpPSyqLMORCCy0v7PjBHCXZNWBQylOX9mwV08i
jA35ldD9IMKNRG8Lk+892NUNdyBVUBOtgyOK47wGTdo7R0PVfGWJyoisG2XVraqZWJ48M06KRT9m
5TcztNDt64LFMOCbiv52eyjeWt/i6rCAVzkHLjwOhmEW5C+O2dZ3+LP1Y2voAjFfq+9t3caLqBct
LBTdN8FJCZ/6pC5UnI0hcvJEVdYHGGHV9t2A1xhu8yl0DqiMJDvV3ALwH1U9UgTp4Kxjh9sogJqo
2iPHZvh0r1hACxAUMGNBslgkbcIbSGoNgBFHNu3FAVOw18yeeIlIYWqN9nwE6xqf80A6iYrDgQ7l
hzNhjWVsrI+jZ1Z4xLoR0wmwL9XZBJmRfnCTiF6ivrdOiQ12ZgkxPlv9f/bOpDlyI9vS/6XXDRng
ABzAojeBmAeOwXEDI5Mk5nnGr+8PLFU9JqXKtLJ+m2fWK8mUSSGIANyv33vOd7hnKqwZO0Qh2GgB
+k7SkIkd9nIINlF34GWF0RwiN+kKXdtrMFEX5DxhXDXbfsWqyvzZQlS/JOnLY1wtI2JJ/Gn07yI/
cd58p+DVrgIZvw6tGR2rwnTo0ADMgCtTV9qr3ob0G1VCpkIlFmvadRr6z6xgQjwcKg8RdDnFETE0
QXKpR1N2lVuAjFzcz9J16oSFpcgRHVZEIposki9OQkOLOZX5HAITeB2SEhRCYY/+aXSy6LUQGMow
6fi3barFj2Ab1FsSfDn/WewhF11ReP1GaFkNKNUSDUkKNH3EGsQvU7Swom3Ga7EamDLbTAO2EK1H
N8tuR6K5Eerwe187kPvc3CjITm+JsTyMfoYlqB2a5L7GvbgdJoqLJY6uiXlsVgdvUi8oFnPPXpWm
lW7mRHM6b0j5D37jtFdS84JdwhdwdswuuWW9KI++zq9BZaTFlC6k+zX4iHDjjN1Z9IhF+UI9jl9P
VsRqOzgGzJ18uvvS/vgb4ctfOtXI7+kjaDTIDQuj8jdjbGHisqehNm0w+ejs/Raz1yGXygGVLy08
oquzt19fcZZIfJVQAMgnbMi0yBBVHYQ237q9ts5XqRfNtIkrLbpG7d1cGMEsmkfwsQ8nQHXabLz4
9UXnDvjPF8U3qzMEcFBcCu1TH/GlcSLwNk0e8I1NH/jJkbqmufI9tNK6GgXnYqqAm4wjWXR9X75/
Xvk/shH9v4gU/6e24pDozXmv/74Vd3ivXpKfWnF//sifWkTrD+Y/NpMBtDZ8aRrPSf9eN//nf1kG
sbJMO3huP0dLFv3Zf86WxB+WamtQklD784TNXLE/Z0v2H3T65sRLTfD/YhmW/0krTshv3vb5ZZEm
ikhkQAZkHPltxMMYQukpYfDje81M9Jn1TbmEqI3HpT1mEZ57T20F28eUb9VUb3ZYgGKUKKlTnIJY
aR6M3qCLldlB9CiLCnqyqmb5LkFRBE0BPqKFF6HJKJnwQIPKYp/vpOzDY2WW+Q9jMtsD2ZFOtW9V
SZetzSFqrH0DRJtrTCzUq0YhwHZRh0WEGI9uIuVd4r9lvPLp0u5sqS9tnQ1t0SBAAAzYwWI89Eps
4dZEt72CdT8caUt5h6kuq3ZvB6p8KKdePHiWsEE+Kv0lg3tkCt1UK4haiLjpNFu2C1ZsaCwYOJy9
IG/yos569JigYsiq7Dh6dHuBhUVd9TihWOaobm7VrG/NdYzBMFmW41TOCNA5baVHpopzmIQ47zKw
4O2vzIB4eDqfBnCuusQsfCm71KqPQhpNDX7ZqMjKBHSAhz7SIKG0ll+pbhilBeabIT+KVgGyp4Zj
RSckUs1tHtTQpaVuojMw+mi87ScBusiLicFaN82QoE0Im8ghSYgOy0LCvvwRK+AtsHS0Sb4cic2D
x+dD20bfFl3GzFm2fDPGWbWjbjt6eCo8/ORXgqEjbCM6NsMKUE9+J3R2TaJk0sHbSL+K9zg4VZ+R
STXcq0Vs0RRS5Q91sLEZUICbNPjagVtj+/aULvpIJqvWrMUDLZT2wfZNo1v3AMNtylrw/bNFFppF
2ma3RsC5io4iWbeLosH2tgPUFIyw/P1hSe9ksJdmo5KW17a6fhOlRg7IqAyvaRfBaEE8JH/QXJUM
5ChEmRw6or+Iki7At6aTHYzJ6t3IAvR/3mRy9MdIPHALvMnZGTT8xiUdN+GxjfYaf0+TqLZoQSxS
2tyx209OSiZwahTGuodtT9bWoExkfrahpy6hTU1swF2LFjDzOVGouqz3NSb9eImtJzcX7FvAPtWi
aj9gfKDc5X+RIWucE+lQZ8SYtPHJtmuP3gmqfT3zrtOO7FEBBKpfx2QvEukAfUOjrzYWUEJFUx3h
WsZvbWj46s5OIXFlntlWS5lEeQZ1n9xPWCl6k+IgRhxV0yNEvdvR+1TEojaq6L6YnAtkClit2qq3
4EiBUzmoJN/yOMptMlo9/oxaje4z0asbJrfTCg7HdKRJmhzGoBPrchBeib6st/q54mm0a60K8/sK
lSf9UBx2Ztcj4tGbItobTprd+kG0ahKYqxt0WfUEUognhb6ZeQL8CCiwsTO15wK0eejQKmHxqpNG
cBSdhrUN0n7a7hXhxeM9vk5GC+U4dgRXEa8laXe16sxDhEZOnZZGcfjqKbTLe3gBrzFTRg7TuAWC
XT8m2XSJrk8bXY1Xpl0jrpGcO2ywWCPsnka3d9KZ2ulS99txOimKEt03zJwpD3Uadet2MEYGtGYg
Wujezcgyjyo7QB/ox1a+pjIsX/KhOGS1HeHFo8wdc4YGvElugTLZZU7Db7v43/81/I/TobiqRdds
tIIgi/+/uX/mNJ3HguT3l7c0zJZhDcniR/N1aMYO+2tS9vElZs721r+/F3/zc3/u8MYfaAF49C2k
KHRT5nLhzx1e/KGqGuZhJrD/HMP9c4fX2OGZtZGihNyE7DYqvf/a4aG7CP7EmU0MsxHhW6zSr2KW
Zjz3l5JxrlEp8S2Lc6YUtI/nueLXWZvJPCSoADAvZZ/unZRk7B7bmp9Wz01NFx7vMWks9ASiqt14
tk//31LvOdqrx7zuHvU+emqLCsz8NDKo79otGoSrCI8gpBVtTs5RwmVZ1LDfzOSxsdE4qk782Js5
7/e41x0G4FlLi6IvFFf00eWXUuu3Zf/nL8f8iPKFQSIHGePbLxepyElh2RpLEvOWGi9e7H1kVXGl
Ssv9z65k8E2aOFro7mArwS3+8230lUqzupT80lrDMutnCLsVDBLowAp/+etL6fPR4acq35jNYHSo
2a35x/fBPTbAPlXwUC0z2f2wvBLcZJo9NADLmCJpO6LlwWDILl6qpSyWVtfWLoKabmH5ZUASRt9s
p7bYGKH1xN86Z1l6UkxBmKBZPYIPO+TSehHB0mBNW5oyf62GdHRhj0xQE8vjaPiMUcwQeb6uYlRs
651eB7XbdPGwMtSwXwbe+CK76QmK3LNOIxvQoGr+5nb/xcfAL287GHUocE0K1Nk/9PWx9Uxg2qOu
OMvctjdBlC20lPYP+aNryKZQnh6LVOJ1A/EW0BeeAz2Ylr0luAh//WV8XujnL4NGjy50PBWGsO3v
gPmRiY6f+iZe2oYqRytLfJyK9Wj7NU4/LfkBw+Fg0LQPk+RQtdM5N8drZN3WBo9NwgRYXOttdQuc
bzmY5Qaj6MsU+c/pqK2nxLz5zYf9SzWP4YNFyKDOp+fJEvLzXcsiJOhxMwQrVZ0i16QfaKk9VGn1
tlTkCUP5uW4ZAThyOw1yE5bqPVFY1YLm0iLgsFpN0bLTSOFtNNK9ksANpDz3RWX8Run1l293Pi+b
aOSQeRmcbj6j4b6cY6nKLBmGlrLswuS2sKNyjX2yX1DZXvbzgcBDnI6Sc45Db2BHVdNzV063Y1qt
WsqzX9+07wf5b5/F/tY6UCW9CTiL3tLLiHQhwjh2NEoLZki2QNX0u8t9rklfH6j5eogzUGfwTSF5
+/ZkW2D6bNoDzlJvKH9bv8gJs8SllJKZNRq3mp+ItT2m+bLLlcAtUyu8ksG445D1bI26Tl/cq1c+
czCMk9nj7KHxkUukUX2GHxUfEGMlbkssx9ozw2t6lC2TGSY6+nTE1mpsI4nBvtAQJVUdMmlM1KBn
2gMnWNysmQlB3oDeXir+2qM9uSjwK20bWx1XuYnk2gT3uYAcpq8afbr69RfxvYfzeWMEyAz2KsxL
swHv6ys/6mpS5w1fBDyG1URmZVRcDLDB4vQ3PhLx19eEbpHOpogJi/13Pl5/vZI5SXLPPN5pPbJI
cIrfMxDvfN9F7U6ODqO4Dh6ioUcCN+2adrzRR/Hk2Zjsutp7hhbkZmb95lu4GtR4WyXi3DToTfJk
8+sb8mnD+flR+flzfjucq54Dtr4oESZP8jhq/bqOMZ2pUfrosUFDT50Jp5iZ8OQF9SIZslM1FKNr
F+WjP4FZItteuUC7oBBwxdQJz2x3ojWZLvEMxFszs72NX0pjP+HQv29pq7vIwy66mQhlFG3NIQv6
qCIKg0eNC0u1gwcxjfgYSkMsIFE22B7ClOZo02LPzh+GJnrxgkLwHvXjMyj9e4F3mA4nfqAUmgH+
fh/wU1v6B5wCE7TW5P7X9+yvDxHVDppdSiv4K+wgP3+1ceNQbuiZs/RN76IhptdsOjfUrY1XiH9U
zXSqCP78m+JD+7trUXNYTNB0NJ8aDZyvj9EQkS9R68jiOzHp+7adHgDs6oeiIvgq6Jksk5lAQ2E8
1f6Hb4VgE/W6WAiHDbZv8mo5jRp525FZXWnO+JsPN1/726ODTou3ljYlb9P3si+JOi01bUbmZP7u
R3KYTOUwlXe/vtlz8+r7VWy6n+h2uQYdqW93oBKYQzqZ+BAlgoU9zAwDE5i9ZzabKQzmpkJ70/tF
8ZKU5l3Uj9dmra8genDCMbKW7I20gGwQIvOvB9BjZnBMFOQYlWcZvyko/u6TkkXBpshjIeif/fxd
NZj3E9IzPMCUOatKCG4mAqEb0PfxmUcS9W2tVZpEtmh+s79879lalk0VY0vklOzK5vfFBmR1M+U+
0RRpYd0jT2OJQUzm0LTNxA2BddBNy99cUvu7a9IOp1nksMPS8/n5t3WYuRkWFj3wa96G87xG3m8x
7Av6jUsRUtqnaObj7q4MjJcoBGo+YcfCGsMJyncDJc8vbHikEcAWLbfoOp1//dx8tuN/ejqZ+1Lf
UeBalsSRPX/+L/v/oBCRrIoG2DW+0xAYmWd6a48x64LMQUmmxZQcDB4iWJUfkRns20k+13k1rBvp
PVXlVGC+Mm7oRH0QJLxOBxX1EgdoJQ6vehlvwOqyVeVgdov8B4Bom0A+f92Bhtjl/DEKiH5POBiY
ZjD449DCYzfr9zFVz+1oPGk1sZy4RDtCAQza66uOeIDffEPWz8cyhhQMCjm20MlnhKBhIvj5DmRh
SCdUC6wl0ZFnkZrX0BO2DMqVRVEgvSFRr1rB3z4Vg5+4msd/yU00kmNSrxq/vmmq/oYODZuBImz6
K4Y7iIoN3iJeiFg2q8Q5lTrgZDS9Ovo1+EH8I3SweqwpvdQWVhoTgWb0uMm9F9tkfCNJMOh0kl1F
eNJ8fRknYlcRLdtFRET2Kl0z+h1vwUxJYiZ7UbXhEiC5q6kpwa/DcYiiY5ygJx9K86VrmqWi65ip
s37TNPJE7OiGef20GpzYml1i09rIkLEMJNHniqohMyGppEkH+L7xsA6M2tUHqQDa0PbCLH70lX+Z
J4/WRGxu8/7rh/Ev9R9JVJJDusXRbuaAfVsZWpl5GaIj6jEB8XFrWttZFqeDgv+z9PvvnqH8DxIq
Ww6Nyrm8+vfzkU3+8rV18q+f+FfzBHoaAw3cMqyQbFb/ap7oBIWBSWBbMWh8fZpy/tk8MZEjI112
NGvGNTC2+FfzRJuHKrM1mG/ys7vzH6Eavm/w8wdTaZtwRmFyo38v1YVFq9tM+n4FTDnHeBFMLFKg
2DWNdDsljYb9lzvzNxXFvCx/XRb/cT0uaGJG4n58exQTX69jUsR6ql/Y0ZTAHx3AKejieDB+fSUa
VH+9lmnz0GNU0dF9w7T4aQkmi5ZuYwDlh6FqTPKniX+QlCttFwlRnGLP704tOYCbRDTZ0i8r500m
eXdVZ0NMKqKBAANwp7ZHtsVYP57pcxyc/OrBQIIGNdRGXCWlrzHWEfXr2JMX4taahSAwGmzirtMp
GaxFD4lBmYmUqG+0cwrmt1vrFuHOh8ao1KswgVHj1uHkcYaxDCQDQb7C/gRclE5T+9EOnPcRanrL
OGNny71kugJSgwUTBry/KQlBxsbfdNcR1PVDCUqo25ZGG6OACRw+Smt53gMTOmTJAuS2RWMnsYA1
2CPxM4qvWJuCaJh8gaxOAXzq9DhGaYwTS0uobvWRRkq1t2q5s3yeBw098EqxsiME/jMNlLhYxlQd
eyJxpkOICPFqGJLjEIhmZXgqTtOweFTSIGLMIa4jA4R2ZlpHdiPYmY6A4FVUJUmkSnUcA47iaktU
mKei+0k0CHRLRdoZIyozXmnKEO+VsX6EJ4dAcTBifJqQbKUF3WzorIsmi6J1UpMxE8QkTGpADUys
h0hlx03si7klv6iFcjOW3dLUkO9JDZWuTZmNScXZiVLraK3rXL4iGQ2BywdxYSTGtBH/wryfHkO+
rZPGcbvEwtcc1GSaG1xcyBRvk61e9y1MojaveHUy/8UX8SnNYIYJ6b/23oxJrxN7aWTKJuzV6zwm
F2e+o7EeIIsygtsGiZWrDuLNbDECxNauzCN2RC3dqMVgL1BMkBVS69eeHiNZTrW3SKZrjColyr5m
w3D8QyVwZhWjBkNL9tF59gXurA/GdEciV/Z+EWtu3HkQGILy1kcyihQNKRPBJ168aXTlGMAYWmHE
47nDjIaYBVSuf4x0o1eZSXr1ZdmgJVTyx6yL6HWC1QKMnxxUZ3iXbREt46GS6zjly6sGVEdwErNF
1xBf1eqIgSY7m9PLmGq1hn0hxoAML294Jfj8YUC8i8a1J91Ujwm68pQz9tLjGBFdjwndA51Xe64g
GGKMPZBf0j/4iLM2shKPMbLJwPNQhnhcLukZd5jGhr4lNAIKMxcRMsc8orNTlUvLXig7zt/dsqpN
IOcEsgbp6LheTuCAkiQwD1DcYqETJHgoNZrg2jr3Kr9pZqXHLuN7MNTiFddRvvpcq/67t81/y0f6
Hys9YPNhg2NT+ve76ymc8uol/brDYt3588f+scU6+h+cUUHLsS/q8wntH8MJZ+aUCvw3qCOpgNR5
cPDn/ioMfkIiw2QXVXnhTfaGP4cTQvuDql1Cd6IVys/+Z/KDv4C6TSxKqkMJwfZKF/+TvP/1HMCE
L0NJ222zDm2sGWfFpjfLdFNFmAqq2tmFXgcWWCP/w2/fhSe9GfWm/2YzRMH882Zoz59DcIo1LdpB
sw7i581Qd3wl13Kvwx5RJ6jztbWhx2sU4bI9Brhqym0pr7w0vGhDxnojOVgL4XunCNQ651f93JbW
RS22E/jr8EJXs4MeDYUb2g08ksZe9tI6FAwKyPMB/mM212M7bgiyQKA4zxXV9g6W3HE0+9XgZYhY
AfbEdEJjby/Q+aGvxGdCBlTqXypRkS4iMz63oc4BQQexaMU5IuB27uV3AABVvwIfyIWWrT0BDcjD
x7ouzkxAGY6M28jXr3qnnhXyMbwG9jMC3x4DSSain0/qmobTIh8kL3SqrU10cKOges9hKurI8h6U
eCJGKrot5/G1P2zpm+8zYjEB5C1Uq7wFDvRkN4m1GIf4grNpuzD8znQHI7e3uhk+OHkKUWHay8F8
z4Nwa6vPsHbuCOgCmGKdKrO6kZ62EeBUCHdZ9vgrF4g2fVeSUjm2qEHG5BWnzVtY6pK0V1wCWSw/
hDN5u9oURNBMegr4mYTXwZoODcmhit3WS3boZNFrghgDeYt+ZFepN4gbaGnptKeM/rYc/Cs8c2vE
YxF3yyG7PhtXIWl9st+XkX6X2naJxo6c8/q2zIaPLrV3Q60+TaBWxgIed9AXj34frumAHESpmxxL
OYN5OXQS547HaxED9cKtCX7Swm7bdKtR7S58haTpYjp08CQqi3V6sNo7TWeupL3laXpRq92h7cjA
NvCA5QNxlFpj6qtKZG7sgVcfGiIyGldAGlyopCFYPJplIO/CVFUXnpq95bOjC6kymAMaHkJVVmnU
/FBnwYunkjhPegsZTytLm4MsaHum2tlIH6yqmi6juI8foJIe6ti49oau29jjHI8jYRMygmDyFB9A
Ni5lmW1xlT7K1ntHUnIap8vCvKuNdGJeolBbFeo17jxK5n7aASR7MLSsJwOUFncUgH4gnxuQoy+J
JYGzYYzXlV2cLNVBfhyAEzfG/GgAdWxbgt2R9l81GFhWfgRohinaAm2LuQwzM97awVXna/hsoBE5
uzrTM9ckYI3l4CoMKY1Ayz4UE9OxWL56EzHbPZyzWNGqU4khiDcHXVMo9dUIZa22w1cS49ZlfIVZ
kvGldp2mGCVyY4355Z4cpG2H+rtqcBpMk0SeDsxdSTY8GtZSBYi00/PWQHSCgsXr5EXeavtAWPD9
pzsYQeayRAsSciQCTEOUGt7wcYSlng6Xlqg3QgxuNtnWocv6FVO9H7IzrjSPyCDDF5fAa5mVNOZl
6Pi7IXaes7jcha35lseU7yVebxUhL1rgdI2mmT4vigk6+tE6t5DIaFV0Q/4XrW5PvfSptpFIXVV4
nFFycOcpBXxV2SFHOTFV75ckbeJKq7q1MSK/UKR5hSXtmooYrVVWnElT3nTEB4OsA0bJSvOKLWGJ
Kv0+xb4i+Q+gUGKqT5OqdMgPMJPurKm69LLmqR3TgkjQNgDEZN9P/Xhr9aTuDc5psJoDTgaIWNVZ
VZzLSS+fmsR8Fo0gfMc7qiOehzF+iEckqk3B70GzYFTyFcaI1QRj+mY0lBvH5vakWrkiV2fftASF
tjE596WRI461qmhr2f2uV22YPvpmqooPPUbw2kYvts+JgNi2XUYq0gllfLnIymJwtdJ+F8K6H8xh
Rkkbq7If17QOCOA0aMxAdUXZrWVbe3JeRCsG5P3YU51G3SSSdFYRKXeCYJOBDLMVb9gF5uyH0sle
RyROKwOJk6um9UsEZpXmJPi4pn/qHO8qI4BQ6e2j2jUXk1A7QuGtcVNX8Unk/m7yjffSh7uvVj74
nLA+0lXdYi05xV2/rkj/IQ+XfthYpUx48Ci4QeUT+jh4K2xkB169XUPM7Ko1lKuq6PAZBT6Hikg5
gcvIYC+Fb1VebID+3Kgoc7jN/jWHr01p8TxUNncyXlXSOrWOvssnY9/XBCRXe4nZLrZISsmpNwlO
2EvzqdXjOy+t6eFUmxiAm0XQYpmzCKm5t24Cb1NUclnkzxhgL1LHeugqbTckzrLBZ9vXzbbvCqbS
2VLDEuqittyp4UDKdYT3wbotPWC1jbEdYevlzcNIKFnfJ1uHJ91OtEcsGZc0DLfxBI7PcjZh48VL
s/a2kxJMEJWrs/SalyoGvxYYHKhk9QCwfGlC9ZYz/NYR2z5pj5p1HIjoIgg5BFdUXSuTfhoHVi5s
TsBleeUV07oyh+C9GA9+Z61yS70Mho+0g0ZnSmJ1J1g1+kfj5SQPttESq+aB+s0lfvYjFNlb4BuX
umwudFltw9g/c8CGNc6J2aycR3vWQLYfjamhbGLpZMZTm9WFWQ68hPkjr8h9OZp7K3nu7Pgp6rJn
uOm4iqJjq7aXAExdPTdZXrzgxBDsYdK666pmSAzdDQumOxbYgcz0OfVnboRivDoWIvRWbPNhPMHK
SjmG627kaNtUr90erlo7tY8BYSIJ4bQYYX5MVfYKwfwQKCcbgHU2CHxYyNtkUJxqib8nwT0Y2ZDG
bkW611kUgn5psCy30zJoUtdooHmB9ev10xTZu14kl6oTvnd2RzS0D+IaUT/O8Y0cyPJNykUQq6fc
twhYdNChG/F1BaWyn+QNdm438LtFmDZPwSkDOlHfRZyM9RL6Vh0Rx1pvtb7mJN+F91ZomQtlEivU
f24fXVnTMmutTTL0AO/rN4NkkCAka7HkBlbiaKSYMCXkZIccPSjIB2OIltKS99VQvTpl660aw0AW
0QX3Zok3Ch7I5A5zFhrS4WuUgporZ2kpXSwKm5w0trzT3Z5mQsyxlqy/fJEZ5lURyCdy434Ir32o
ibzliJ9C0K3uq7jY5j1ucMjMCN9dKbqND0BeTucOv1DLwhszpNTN9KYsMnxI9WbUzJXVIcHxT11v
Om6PKJaAp0Xg5a7TfyQBnoDwuimdfZ86VwCH8NPulXBELGi5w80wBeu8XsP5uCxJ/VwqohoAjwbs
H+FKUdublq1oORLIEfWbCfCFJR78Xr0JW5X1wN6EhG6E81Ga6O/QuJpie43S8Tio6XWnXWGFXBGs
jRfsWUHGOJQMY/OWDNTotUfMwsn0GBYV1pRy2A9OjSOjlB9Odh/wbo65v597x1GVbz2HgwThqmFz
DLXRXyT2GZvK2jaal5DmOTr+dml6Kqkq1A+tYj3EDbmJY3lfTv5qKpUdOmcHK1qI046NlhRRT+5L
+Epaeu7MlY/3v3fbOkb/SM4aBpo0vfNVS3E59Yd7h2MwFou5tKynveVl8amwZfpDMQNnlflTviPo
s6KGrJzmkVzF/B4zZbeARdDSN2nGjwxKwZUTqfapivUO8laOaSt21I1pRpwdJunRgWnJkbHNgWm8
qf4AiRBc23oqD2rpm0CwYpluIaTH9znU2RUNEudm6shYG5UmeE6phrdJWMz5ToqprZrCz/cRaKMW
J1+MwEXPeGGTcKfNGTyEsKvvXNL+YSXT9EquoLpNTSBXnhppt7ms9LVm+c2lHYzVXs2i9KAqVnXL
eY/6mMJsWHT4Sa7LNNbPtGwHV3Foqo9R0O9UrS4OeWcQ1KmQ8WdVPnvcpAxLb9RsEDaKQJfaJQ4x
P0V5ynL8dew15GuSHrpTnKI+iczy9knV1nuntTokGwpHr6HC7WkRpnNqDKIHMjGeclt01DOjSpoE
w5F7tVIJBgMUdIiYJK2B8PqXBuSCp0FH6hrpWXnHQYf3x6799NWOZPuoJLrZLyiNo0uja8wz3Mvg
BrLmeF33TnGh9fBMOyMaLqvcCbCk3nfoeEkqrDbO1Aw3Xq4Zd4phQO/KQmQEuIL69VDOtH58P9cV
+MKLPpxo/LFhPgdmaG3TvLUPGg7cV0zx2VWb4PLAE1tfJq0W7VKCBjhDOuBPfZAO+KfbtTbOyZDU
9QvcO2jOO6y1uic0jD9RunECYC/pfMAmwjsc8QV5oJCSXnM1kt8egEvAOmR5eo7MRFwUQ6uTmWtp
B2LnR9aUjGZtEl7lw/MQtG4UEhjdNcl4SbYmO2mRjt1tzZM5ogasx3STk4GwbMvpB9GV5Ev1dWsu
C687e4q8s5HVyjJ+mtmyhgmkOBeI/NuEZT/cKnI4lCFyWBJAVnSsXTJZfXAAEHsIHgcM9NgrJfSK
SHVxbdONZjMT0YtRxSsikt3Oj9cNoSMZlRsbg2EO+KZRXl7YvqFuMq96GER+FpmxC1X7IjFaEEOT
G0Q6n7jddPGFUKt7TWtAsin144TdcTH6IRVlKs+d0d15inZZjKj1CVaCeh/TqVV2dIov7dDvdgXp
B6CJBJiGDGFePInL0QZHIozEJfFj5ZQB2V19vSbMeU2AdbhohcGEsVlntSKWkI/bB7LC8dnVByeg
penYaz/JPoqsvvvSH/qbGQPW0Z+aHaDETBzTJNOjLjRsjab3z80O4gCpmEzZb2XywDE/PExDO1wO
PbINhaTUvSqz8mLI/ema9Ql5dCjNMxDm6LLySoy9tcy6RzvucEh+virx/NbgOHMuzPlNCuZ3Kp7f
LsLSyoP2+cbN714++fFtr2c0UHJezXZ+R8EuFKdxfm+T+Q32Pl9mKAH1njgZZe97vOvj/NYj/S44
1MFoTtOpPDHadDZ925P0TGAIFEIU38tMq7wrYOTY9ua1RZtXmWleb3yPlUdtyGMsjV4/E77CuqTV
1Od+EDS3apTXt2pepwz/ZbXHRtVcYp3T18680olZzODNqx8euemVQAP7hwJa6V3Mq2Q1NuEuQMLl
FGWwApfCYtrO66pCfu4q/VxsCWXpt2NsQ78uqDMKdXRujCh2VoEu4nuC6jgw9D3Ltwqi+VCOfXBt
OLn2w3MUUKyl4+pFxCb/uQnkbaxt+nlnqOc9wpt3i3zeN2jIjx/qvJdU865CPye/1+adRvncdPg2
850v2YnKeU+y592pnvcpz0qC3YChJJ/3sGDezTS2NQSV5MfYUz290SQ8kOwK5KIUWn3fk0/xCESx
KUhqSMTDaFo0tdJWjE+9M4DQGnUMCoVPAyrm2cTx0RFnkFLACcYaC33ILqw6IUMgAEYmChFcFB1P
HnY63JZk3kslcGrXqCzvxUjNNt/mzGc43OSNtq6x0RC523xekcFMijCWUHL2aeYuPEwZ1NY6z5Or
PIvki10KcUgjFomN7NEYMtYwqBTSRsmIWZFG/KqrxXWnYw5cArk1y3XgAYaoOC24LcMtGl6ptBdR
Y9FVM4th1ZXlTcBpc9srxlMFpxIUdMdJYqKunHh8x4SpmD8OK0fxzlFUnpMGepECEWhJpG0KYizD
0M+B/Z1DzINiq+ZJbx1nVRfGXRdSenaK0EE7dDErLDm4ACWSG7uXyhE/bLxio6+XnhqHZ0ttgoVs
6mg/CzRDLTqDqgkOUenE28yizCabaO/rWrPKOnSdazmgEaMtFy87XT6HDPy2thZ+jKMSu8lMYNfp
mDEIHI8V9Qf2cf46fsrAjazu0Ww1QCtoGciwGAwQ8LnYlEgDlzgu0gWQgY0d5K2bZL2Cq7401zRT
aauo2OZa9Zq6EJSOxItN9XFX5MN9LrB59ErBccxOgo3BXMte+G2cHwNgsRBt/XwDgBacp6JBLo5k
sSYoZYKR2tXrTvCu5TZ9Ta9G36H4o7Xwh/q5BzuBkSkm2G3Knk0toYIwi2qTWHazSR0dhQlpazxW
oLvLFKdOpdXhoimwzY/eVLpqQX+xiUyMxL6TUloUKsf5K7OE1+frVEzogKNFAJj7PvcgSjkjp1Zv
Pg/UTnfm58wdbJOEbZdR9l1ty+yQN6a3E4Wjwkscw1PuWW8aeTfnWCgTTwELigKngFPMR6TLc0C0
rwuyyoI/6hsXRU7QEJQZEAdO8FY71BRJVLO1l3WKTDcDAjOGr+MoHvvkSTWjExJNnghBknBmXU1a
LhgIZR+ynv4ve2e2YzdyZe1X8QM0C5yCwbg985jDyUFS3hAppcQpOM98+v9jVdldKrRtFND/RTf6
wkAZtlJZZ2Ds2Gutb91o7IHt63eA0DUZuZWBKXXLpSO8a2q73wBrxutgcvGgZojDqnBrqt5t8wXP
SsPt1fo2FqazFVXyImt9oOZUbQ0oA9yMId6h8EYXsutnskARu2S+X0hdA7IU4wAL6bs+EDbseFlU
h7jti2NkGxGQ9XD+nPjLJTN0ph0pKBiFYyOrGY5EP7/B1AZDoNxoDUPDWNNbad/LNinfURudY2h4
5jkaVHLUrdvcB4VsHzBm5g/UOY1fA54/Z8uu5AEQQ/vWL7NVtUxZzjJvEfJh8lpmMNto5ZEGKQOF
cZnOeOK6L/4ystXL8AYi9zeV4f9krH8XsvlNj8J2889lrOc6Lrv6J6PI7zIWf+x3Gcv+xcGog0fn
1yjNH5Us6xe0I0VUhvMZG+IfevpQsoRY5CoIrcDwnAUp+ncly/4F74NJNMeBgY/Y9ZecIiAdf5qq
qBD0CM/SF4g6hreN4oufp6oyTw1jcq0OgLo7sWjkIs7O7pD1GLUtNX72PablHvwUMMiUqrai/T7a
9icc+58zqc1bUIGLEtXw0U48BNI2WxYhXrcxDMtYjS0odUinzVn2IfMT9U6buUdTn6vk0SuNFKWk
jw7MkjxKw/JOlikRvniKGI3FZxAZ1c7Dx1xwpaML6oH7QrrRIbyVXCWQ4lPjww2dO4BbNrY5o3qL
ioqFE3rSgScxSU3hBPytYf8WI48Z8OpqDKYRQf9Mkn8MH1Ax1AaPg7E1Ky7elpPklxKA5LnF2HAq
AUpfojyQGM+li8/f1NNroNhtxen7ENUo1a3WCOJLlI76lC13HxwfBXHgqGNNmNhud8umhKh96l5K
3AlHOyXsMwcTBRGVokC2suIWwj14MfQbYXU/rE7dNVPoba3akY+u55prVUbbqGrS/dSIbJ0bFQ0Q
CRVGxtgEXx1WqAePseMUNXYJEKGysU8reSTeX55MHXpfW296q0cVrWGNE0UZenK6SvNPuVN+7Txl
XAMPrJ4auILFlNnSnyfc6ww1Bn5C8T2x2mHPJVje12aidgMVh6suseh5NwufVal0t2lEx8Sgqpqt
w2jffKYvCBAxFLaxolC4Sz87xfQZn3q0HjhTVs1yWmeNeXGX87ss4L3My5kOeO9HnPvpQRbqTS3n
vtfzf5+5tkW7waJylialE+gKPgBgTw5mWUfnWOpnBIlnucwV/jJhEKslMBLUTHLSZuIE/g3bjZmE
8lufMZE5ZU6Vs6U2gHwQQ4x0qGaQ7KKvXVJ94vOqvo/LzAMPMGNzjeU5Wyaivmy4DgbPEaOSV4De
MBmekmWK6pd5CuHGBfVEw1g+moekbW7WMn2lyxwGz2NhlhftqxnC78JkioVWPS8I8dzhusmNh+tp
5IKW6lkrgdYHNzKOzSLWOnZV7+H4u8c8QA9iUqvLB9cby60lDGMTEWuntczWFCUjcGWxVe48PoP3
Ydv0pyB04wMlVRM9NBGPM9XsCY1fOzMJwCHp2jmDhktuTeL6e6ZaLBOiebXChroIlbGiQm4/0IMD
tsP1Xjhu7X0a99mrJoW65q3qt4OYevbYSbtU/hi4XIty4ezY1SVum/A0T4NXrYIe/XplidredAFd
kmWNN4uxl20k9y/Sx+Mji0C1KTEBIQJ3UHEa7+RhALinGhlGeyDo31FD/DhYmlG9pLrZTOZs0Zjn
b8BiOKRnBuVBFkizCVbscrYeAyJFtOjE4TIFFdBHEDzMJmBn7YXRJm2X0kevZNVvRyLXQMio1JsM
kvpqoFpkapT30oWdPFT+FHwCiBJwtZf0A/Vmso9dGR0TWVHhKUX8ouKSPW5RYeGCJWnfNHCpO5XV
1KAqnXyihPiTSevGrvAm+OhhfigxjhNTsL/3pdXf4sEbNgTjG2htPU0G8VjMJP4NFv4oU9yOhu89
eeF7CSTkpCbuwNydWD8EJesGqdOdNYeffFeXd0btnwMjs+kCpjIYLVLRG77OJqdY4FfnsQ9svrmx
k2yyBUxHEbQ8uzpLHoY5KC8BseH7CFTUujC7S+fF/Z4MevUpx8W1QpdD+qlwfrM6Ixse0z+ZNQTS
+4Smp17xa+hhmm9BND+OAkah7cMKKqYhPpZJ98g5xKayCKod8bnwK7eg+WBp4zkEJL2dHRAFhZ23
90XqU67qzzE+c0zWuR1fMN6lECrd4lEkgO6zGHmeWKOxxhax3Mz8YDPNlD7y2SVmaAiD6JBBpXJA
hcXerGknHg2C9EZWScxA1IL20uEpHIvvGCLzjfK4OOGvfcxq71ts+wTzE5QTpFtUbXLsW3pVB4jc
zQxwmu7PLEjdTZEHr6ZbcCouv4MNKnIbxoNaF62yP4F3EGuNu34L1Uxd0zSyqd/shbvYocLhqxF2
GUzIfKifbTqsBGywbOh4+lrcqCNrSwLtvid+iwsudQxaTKIB03jU7VBHjJUwEsh21iI1e2TdQa5s
KxsPhpqjV8qu9sIY9MbjTMhpXFdfUHnh9qnyoxj5QHmNfu6rVNLhRElHrs27uaf5UBEP5LRLKLeq
bdabhlrXyzsNXCzYOdBGsWfz6CGl8oES/JW5+K2n/5EXdXbYwGJ1IApBxAorTHwiLPMQR1V99WkD
XEHZeaTlyFlPrCCArPX2BmeDu+I2kNMcKJ1D06f1c+iE7WZuQtoV2zajGaR4Nw2eQl5GLsOm8acV
X6ccMcsVHyiOYh20VHLEjvj4dYD7v3H334y7JHfhi5PatjEm0yQHredfTb6X94/3NPqjf+u//AG/
zcC++QsjLF9waqF+xTATCPtH1Fw4eJWXUAX/sESGfzdzOfIXsqA+9/PfDNGLA+z3EZiq6oUlhH/B
oVAbz7H8K0lzMu0/jcBQtVxyDSb/+Xn0dTU5KyttIYgNMtt1/PK4fMshVCTRMnDijsrnszRyf99h
6jqZrZCnwvYpSeq9NrkbSkqDAMhQ07qRo65fQbx3d43yp1d4DvTJ5pgMSpTsjKalGBjsLUO9e4Rm
C+pRJhk3X0fOoFJXZRga9brsIUc3jsm3qkkqSLmoh0Z57LnaXhtbOCc9WsN7H0z51zIi+LGtKY3Z
F1kOpnkWLCzWum+4ng8TyPh6Yh+xIuQ1TvvJbDHV2Fr3FU5Jgx4+RFgXCbe0kuqU+F78OLLhA+A/
19WzkF321PkSwmPaQXsc6d77Yk9phg/Ymqi67W2aYetk1npnT3h2Vo6IzC8AQFN6gx2DLhTFzHMb
85gNmkic/lsijPGkAJucLFiON2GInH1ebD/ZIuk+mUEtHig9zW6kO/Cwtq46cJTN+94c8y37dxlc
enbD6HQC7TlEQ7W9wfB3fVczAQAkjL4p+lKjg0H1N5Kc7fXgTdJhPpeG5/wA/Dc+ITTN32PSuhhA
w7L6Mtupe6+6CSR31CQBySY3CV+kq0kOdl3WPkRsQO4g8TCYg6tkk9eFU79PdYyXGkbu8CItz3il
JAWDFnOH+eJ3FlOW8vB3bGNDmw++B7A/sYZqX89+tbbgoLEtMMPmgac08M8CjVNuszJQZ8j97SWh
drwCxFHnB5nAqTy6LFHrVWrl7VvmptTSChfCZZgF47Mg7MhK220D2IWt4a8lCtuVuYrRmMFK602r
XGa1KmnUPaKLrnCgJTkF5Kp3GaAMXcTXYZYjQBGalN0tmrvh7DJ3lt9z3N80MBJ9C9bg/sp5y6WC
I9JQGQ2vrajLt9nV0Wdz2WlRaTPm95kYRb/iWwM7zxt0NmDekbRq8cJS/BFjOuD16zt+T4e/aITp
P0U3YXFG8Op74eescYIfcVLK6UQsFTdW4LUHVp+d9a3UPX3lUe1Z/d7JgpmP1EhAHPXNiYqHXtvW
hZqfPKA3QvvHaBiab3itxq1Rl12+MeOM/97YjXGxjJj1c9916s0t5jl5aCPqN1buGAhq4qbspWpD
92MSc/xlDNGhYRYElHhQTLWkhQoqrkyDvNLiATuWkcTnHSUeuaXY4Kzd2HmlYaQXaWutexV2u0mZ
CF6kTv3vqq89e5NCb8bRowWsmrGVj2YXNCCleizJGrDQk6FV81XVovmU0OF8h7w370TXgGrIopF9
bgmJ+xEfTPMJ6Y4iODEU53m2qh3mddOjxS1Z7m89lMvMVvSFUBzusqjONa8F7dAL6agvsZc06Tm3
UkLEXuLhp0wCtzjmUBAZCwOqgwSfSkorscYj0olerPpEeluvKfpviuxDRa8lavGaO2971amebgBl
In9X0CYeYKeYxv1i6oH2os0j13kIHTZv45dapfMH/mtutnZr0nnGOvva4ZC8KixWEcOlK29DVsZP
fW+wjta9Zx3NwZsPLje5W+wP/X2DqXyBkOcGl4cu/1wUkdz2JO92TRAEz23HI4dLbjjvcABSmCdU
icrfmviTZuhDb4D0i3vIYIIrIYjhRAG95joyf3SMx/56iqLC2oPEdOjy6Cfe+y4tIwZBbPpfWGym
XySde8zfDj7HtRhlveIZ3r7w7gC6MqfQuqc3j224Zkg+GWLE/U7niaP2hZ8UTKNGl3L/cAbI/6CM
vjIzes+tC1pqVZkdGkM4VMkbTr3yM/sUDItVVcOptDu3FTvXW6KORZoQAmllTYce7sTytUmsJL3Z
fpG1vCUOD53QdKuNQ5WKfY6Sid7hnpd/4Ru1hHG8Es7YwdY4/ZH7p8a5L4lrXLGNAaIY6BhIcZza
6q6upP46RmH0IwKHvikbM36GUg8lRWmH44Yrh79PKISN1jos5BYBnGYq6CrxweWuEG6MAs+D21eU
VzpToE/d0OPUg7yYAeEu2uKOmyRKCxdNGgJ86o+HEn72xmALsO9BgB4tqsiZ0ztNQjCzxIhdzUku
Tm1BDLeL1uHu70T7HvkafHuInNwU5apu+pmMQVluuyzLEV8ql4xQ5WUJml+ab+l6Ow/jAt5OdMef
KvgNH8tCNp8c7Q8nwLkmDOKpBUXWpCYKfDGYoPSxgJ742ojiU5ZO+AwhnR2k5+/bRiNYTyAi6atX
59bLmB9wWbCMz5U+Rc5i8LASGL5AfgJhrnjs5DyHKJitrZvjj4+2VaiVb/bzh+Y04KCO22eda/+M
7DWupww3jAtE85YHXf/D5fDZMyU7C57mXZKH3Myd0od5cMKD3TbNizMK5+CnMEhWkWYzRXsEHruY
Usg13mP10EEMwVo5dON6ln55smjc23pT3GFBsbg/OzFszs0QJ1SrOFV7ycPChIcTpFcteJAvxtOq
xHyNo2SNRGtwIYCrma6j3rCg1U4Q4+a4ShcgbnGzE1efRj5qFN60yXlWsXumYBJPIjvV5jP6itrA
pfe/eVNgk+PM3erezbR/48IqWZ+0ObeyMghWNvjsDzRNewNeI3+sEkzOlZ5jd5uloXswRVu+mLkZ
I6zy9hdI1p8z2t1AtNnp3FBYGZorC4D8XZ4qSGpxK8xtDQt/7dVt+dbWSqxn6EDPld0038bQKh+8
1huveZ1MPvuqBMFBNHLr0NmAy//XElVdOi0zly3f8G0n0xri+PjiubELiHfIwu9BVEX3WWA4l6Qr
ZQZglm/hagD+xgFadN2X3p3kVvaVTwucgxGkMoPwi8TNUtFk3o9vhhcZb2mH7oOOl4zc8hJvH/ml
xETrOSc1DukPft/6QYbN9BWkF7mpuZxggo9xDbK3r/32WU0DEe2kGUSycShIp/pSTNOjH9b+TuLa
f4V+v4Dr8+xd2R6jRtmkA3HWJhhgTNdg7NcYwsM9bxV0fhrJeTrATX6Ma4edTlEupcntrHlSge9t
9bbsojo+ycToin3X1nVwLOvWDDe+Gj2901Zk3TVl6X5a8okEERoTcjXLJPDLY+2HRIlslheUKs8Z
BpCxaenPUzVbKro5nHVnV1iXgmmovwwgZJNNHUcQWiGWBtfYs3GeC2J2Rz4hCpS3HbfvYSQ51AYq
XW5pTwEE7pbO5T6aJd3BHjP96tIFcYNSTT1YzX3olkwuTASrh55P5uIcN8K/t8bO/B5joAV3SCmT
veXcpWtT2thbVinR/yfU0zjasrPmWzfUTZSzCJhRayyDK8yDL7I+2A3c/Q9S20WxSVPAeRxvuU/w
j6Oiv9pxg+WQdyEM16Mq5N6zWv+mtV3C3IZ6Na8K6PA/ksxQYpMrw3pRwpjeY98wP3wwjx2mupmT
PK3rdikXTrhXV11FkEMnSYlDrQWI4+rwhx1Sf9KSzFxPqrQorI+bOQMfEmM9LurHzs+bTS1rHlHw
3bzdxNSWYHJkzYO1A6Kk2aV0NHpN8K6Gyr6ZOSPGlqlXGes6U0Jvx9IbF2eDNn4gKc/MaF19VDP/
4qu5r4qdEeTjtpYOXxOXcxlX5thZ2wqwwrujqtJ+SPpQb7Gd40Au7fGhMDVYkLwsBrTYEmjlik+V
DTexih4CnbpHJ/UxbeBnq1eT12DM0L0N7aV2ltWe5EfCT45xxa7Yppev5SB9qp9VoH8UGq917eiJ
vARQ8o0OKiSLxJg3YAN5k+vROLROvaBFnRKkIloRjjtQlpsQu9u2m9msBWWcipUww/I90kZ9TscZ
78FozTPoPEv9mFwZTHuWcXK8WklsPPdGz0/xowbRVfopVzLunPa+dbrgVPCZ/jZptVTRovbfOLnx
zjl4D86It/mxbM20XGF4cPam0eC8q9hESs6QbVjb1ZZa2pREWyLno5tA4WZR2W1VYQDghGVx5Zd2
T/AlSNjHLbV4qcp3KVtAgy8NHS9yCEA+qr6iKRK77GZM0g7RhTppOIu6IEJXYU3KKzN+lCYlqlaJ
N2sFxUOczcxmnBJpsLW94CtzqtqbfCe3Rdc2W5Zq4Rv9cu3XCWMPEm5sBZtwstO3sCnkYzhbzUhr
QJac0DP1fjaybD2Be39GR3mYotb6YkFKexRxvbBKRjKagSfGk1/1w8EtdXimySTldfdilqUIzutR
xmJfpCZQznqmCrWIC3gzNJU4u8g0WQRL1yWIRD0w02wam18Fj5hDzFiKB2ZMmivJCiwBPevRru5Z
B9tGnLSbEC71EbsVQzSdKsVzETLxMsJ5Dx7Wgid3LpwjooTxUDTsAQevoDEnTGCYVUbJBownr32E
UwDOgW6EZ756AXYjG3K1H3Qlj8eQjoim6xV1QrmZ3QHCjE5OEHkPPXEV/Cu+jwrieGZ6FYbTHSLK
c+5ieya6GBCRva91FU4bYWaIAWYnj3BFJxwXXdI+TbaOXzrd9Q/KCMU3vrvWgxXV6nsFG22HayIg
7GBPLAaNwbU+kV9iqrfS5AhPPmHBaLLWR9tw11nL8yruOjAjnZ8hYeddtOnyLAO+V+HbxfODaQCs
W0CRxdnQ/Mumkh9C9W9eMbKGBeY47XSfao66iL+t0jvQdfxMNLQnWkX955Y2N3I9XUlfEiQMjwwL
oVTMRuO1QJcn6srkIuCqRvmzlVk0ULt98lC49g/JZZBq8yptms3YGS0wuFG+Lsfntk9TP7/p0R1e
PQ5l3su5KvwdIZ72I3XHaf0fXM51GeSOPjiTYKKhQmbcsFnFFExvgbifOVK6jUayan5ju/x3rxr/
B3EVEL/JkSxgwH+umV+/hxHk6enPqvnvf/AfqjnZflaRwlogle5/8hV8BUQBbdyzlC9//1/+nv/0
fgGQuCCUJMtGCartHytDW/wCKlpYCo0bEQBi/F9ZGZIG/GlluKjmpgszE9gBbB4lFwzmH0EwyAAt
Jzsw2VrVLtN3lXJm+Vg16OFhJfQxplqfmCLH8sgtr3tyrckPt95gJTOdp4HzUlGVwrXb89INcxRL
pyymG3ItBuof9izDnBfVSOcaDIN5nxmGaB8cQUfzWo5UV66A5yQgfovCT/fm5FflxaTK64jRnuiY
CKNw6wdt+NzQPGmuevwza0JooO+trjr7new+l+4Ihy3xFbVtmitS7t/MuQaN4rD0mgpsJWnJ1zZt
+ppC8Koc1giYGew1NwwvJkuldlXjQ72IqCk1xRa4TptO+3t31tlBspe7r+zYPgTCHyFazc4BAy86
m4srMDemMSRQMXmPQ+SoZ79Q/h4G/4DtXKt1MrGiY+1rbrloltQ4qBxWood84trla1/4Q4c5mX0l
IaXiZimjZEgv42mhefmOebHtIEa3zIf+kc5Ob+JWii56qWBIDzyreoJC46Axyau8IujYWAFlNKGB
2IQnHxfPLrQmHt9clwzrcbaEmu6pFPfyR8s1EWpnswrqQwpBIcA/6VvzsTNbLznRmaIY6ID/9mCc
PTGjmkT6M/upSjz6WU0AzJohrSPD2m66JmWVTitnbnrQyF7T72VrRh9mUYYSanKm9nndWa8iYADe
hGYY4r9tfijyHB1Pzgc79+0LJT80HjjUJxij33+WXj3iYwsehhFIslcNLZP8mKmrUw8bdnzxoxWn
5s4zdbYqdJAwYgmTjhHulx9O1tOTg8Mp3sekGayNLswKvGrpsw1OAiJq2NOnTRa3/pO2jOkyBDHd
oiN13NBr9VPLtXjTOYr1AKIubAanOAEOzzbUHYXAvv1TV09qi0g3Pwd5bO0YBsXJQxRnhwY8IbdI
wvndmjaS5mlyEyjultfcG6HF6MyVhBPbIaHkUjtCwoKtDxAP9rvhvkDqutAi6m/4WfVmQsK91JVL
DsNK3PiZT2t3xgVGx7lpI0SuJhUnxylMWcEU7Bcy5q+VpoXxyEI3vVc+qe2W9zYgUwzFma6bEVfI
NIyjuZqNYdjUNa3xWSZfxzjOHqup2JNn0dtKEa3MaFn/ELYxbGtflk9ZFzZ7GXUJr3sy7T0KAL9I
hYiPY7gDaTl95x7ILFJOdoatLmgPqQHuwqulkX4ujcF7GgqMgWvKRORbObWY2szMc4+D7o0d3V7w
p2y0Sc+wu63gdrkzq7oiwyIHInJCrzOLJLiG9YZ5MNQHrYwTOzePJ0w2XgG6dJ8Ds0HmbEL9ECqn
OjXsek8IA4pwTIWJlXLa9v/Pgfe/k4jgSNL5//xY3Lx/1O9/e88//nb3Hr7Xfzu89991/EeB7Vdn
2a8/5bczUjq/cED6prXoVwh3f6j/xiP2K+wXt5nrL53e/5DVbKQ4B4Az1ifBMboIbr+ravwv5kKU
MsEW+VwFACv8BX7znxFEkBY8yRGsMAtAHTb/ZNZPwA2NoOuC7QAICBVlT6/dDu86SBF3/4fX6b9I
Blh/Ooz5d8e4ZtFtIIEdgXn4098VZgbbWSKRW6wsu172tymrDiAndzlb+1lVXzI4v+3wSTk7Q873
YTabjJWfNaq2HY/nUWOYQVn+N78Vr+TPUKTlt3LsZUzgH1A4fx4RuB3SqZdVwbaMpm1L0ll7Q7se
bLmzwno7w5aWRsYOytv57HRV2G+mgPQd6tRetGsOu8d//QvZv77mP2GaTOHbDtMTQixoqD+jk6gn
LemkCBEZ5y7as587hrlwb5TnBvdjFJmrUhj6HsGlq1ejN5/ighAe9d+sS9PePc5R/mbUuXhEeddn
p/ODs+vi7ZD5jvBNjV9jeJPjN43Hrwfc5hX51SPImA4rzidC14L7bohAZmydhlBxpFjIxORo501F
Nie3QeXDjlYlLnw33yTavaoUJH0UnzzjNtjFbabkyw7djVvR4+lPS4BvM3SKjA2tYF6w72h/bjz7
EHNxq+rPU2YcjYjurf6rkZ89dsms8p1TyeFuu4dUvfZd/6lnx7+qp4Ys9yiPbgvpsDuC0OESSJ9W
3W6yhoLvNqQp8hTL5E7j7GAftfbFtM0IcwmuFCk8G5YKCwjjKevzE+L1bqQkgM5S4olZu6sSf9oZ
AxgDW6JdYt0jfc/t5NpH3q5xfoxy2GATX2s94IYDJVUhAYtPXKZPSSbooUuPFn3w3OOw7jChtNzT
RXGom2Ed6oaXh79GuZuyGm5FLR55P0nKOYeOjfRqHvqNFOPKxs1vVV8jeY9UdclnqjBiJqcl5Gyq
U+nyzez9LYzWtRE/pYCRjPpuKuXOU9F7jz3Odb9WY/HGijSve1BTlIeF6r4J8CdODzGapQ9tKfPl
LsalHgZNd2fSPvBEXPktlJlxnTDwsFxJ7w1SITcurwW17Xy07DYguEnnxbfl2KGHquRFy/oyIVCZ
6+8ADaNHew7pFHNiPE2OWL40weKVodBJDu6TtDr7xaPkmPqgsPsC+qxYMYuExE0kEwlcsvCVIop8
rScnQOPKWXTbqUV3L60S2RMOF4JoLI82bT0bBLYGBG9+C298F2ALD6CFGT3Gqg+vUV/GF6dz7kXd
eI/13Mtba2fVbwTU/+5b4f/GQ3K5Av5LbNByNGrOyD8di7//ud+vjuIX28Y5DYlZ2rbHGfd3swlE
ocWK7WJx4bNHI9UfjkUPV7WgWhyw/6/YPhwqfz8XxS+U82HEZonsMUvaf+3qqPhJfzwXSMeA/vf5
7tqKqD9tWD+fC7Pf2PCIuf1NsUMJnnwHsav4MtbZXeROwSXWJA9zI3tBcQSOk3bGvoKQ8j66Ql4T
H8L42CC+CS9fReWAfRTHq5v7L6GbqY2uFW7ljq6+9ZQublu3f+xrsWghzMdD2emnhvYjsvB1DXfE
JWuPG7jxrlPDE8EX8TaSCQGTPnjsFr0wzwj2wB9b4ZB9GaPA39Vwc1cyExfi8qhQsaUJIZIFKmxS
Hr6ar5TpcWoMLRquntC6Cawj/A+7oemBCCf+Di0WXYwFsbOpcMSwMZWbLqzpAFXDI2RX7Mzqg3MS
vSS7MKJvp8a+xZk4FzWrWLsDh1HYP4QVjycjChYuAWDyvR3VTzGv7X0RZ0wBs1Hu2Qa+0Im38ozh
0gleTNWWKDIT/8qxk965ebuvDAwUZK+vDlI7RLsi28dj+w0j7HwXvDY8c1ZNpdUuqrqTa0X6jkTy
KyrKRlfdVrsA6zIXa4ef/2jpBMVKmOws2D6jvzQTJ88VseqoxI1ZSwAh1OKtqLBHHZ2TgzF1j4Yt
eoL4zfjSxbM4OjJDQ7GxR6TFdiohv9BbHZKrDaOnPKtvkdODQsPnGDau5g6APJXQxHQvHPB2kAzo
NKTwmA2qkez91g2wIPriaKt5enay4uakFdYPyyFCmmTR9GTqYOba3rTlvjWS8H70rvTWv4Cdg4Kc
ePnDUBv0m/b9FU35PgLhkKbep1BPdzphLY/cDpVtANNaN0cDNdXEgzqEQ30e4+0kppi3qrlDk/iR
5thvdImcqxw4paVG2Zyoy7G27tivTdbOqwrj0DoYZ2YQIK1Tb15SMTA0sPLl0rwrqmmBFgHheLV1
iR0/Ytc5esvfnRwr01jVujRfbNrl15zdwFwxFDQ7AE+QG2iw31esQWClv7s075zp4vyhEy7GFOzR
kU3kvXpwWp8cUbIpUmSBObK+9LXJn4mLeOt2yn9SXr6j0LHi505EfJ2sNu7nyBEPFgV6u1hZ0T53
fPGtdKvu3NZp3K6bSXgPunJKVrnNdE7c2udEqaK16nI6V1lv0UJfd0edBPpT4oQKSF/XxJfIRv6O
krA+TCTMnxvJfoKPKnUWhTl9mdKmWE/VUDxEntMfpcz1Gx5N+TS7XMnRMlIszbl3jrxCnSmM9Tjb
hmHXWtaSWp/HK4Hq7Hlu4/EZu053Sswye6E/uNlVPXz8VV2q+r3Fr72prKi/cwclrkq45YXpYHiE
t+LcCWvuTq1Zs51HRsc3X4y7kVn3vNQ2HetIsTOti+g7NEFOziab6o8ySzGVENVU17kb4mtS0vct
At2edUB1xbroe6wL/mjeBqev7iwy4JcsLaIXVgYKypGoL3xU5MWhHvzCrNCyIa5j4o6wqfcWNfB3
3A9CSBzt9JjQAJz/m2He+TUG85+zMyEcRVCHwgce3CwQuWf8/NROcbRBQZ/Dox+G+q5066I/Jk3f
3FH0Tm48MMdNaWHJmmyr21hDOm8GCNpbMRrh1m27F3w+xk477El6mSwRPvpYNiKM2cgsudHIjcMv
WB7oOIiLUDxQ55acW7QAyKPuKq7U/EB+BL9s4OvrFGreqIpe52As2MMpcaB0mRJeqxGraBLPrCki
XGxDdu91oZ9shqkLnssBUuJeiYm0WiPnisbRnB+MnybCF+/JctrncxR0cEsxzO3NbKm06nEHfTEw
atGW04fFVsxW/uLIyP/S2OEJdua8A+R866Sxp6UtX09gycqcWteqpTguNjVtHVl+MRyE+imzEA86
51aO7SUq66eglv66LExq6UZxMjTlqTMRhy3KFIsto5vXFHVRZRVB8prd/hzUxUXCA+ewnCDXNOFu
yGN7nbBc2lLAXNDD4YXfol4Mp7wf3J0RJgaUR4iuVM3hGVCW3skoTW7lDGa67MLsrpsHuVdBxkdp
lnyqZha/l6FcgKZd0lxiYahrJ6jQjszQvoSxV92BJzdvheWZD1EKsX2t4r49816Pl7z0MNWZrbpi
d+bzjpe7+ZAhjECMnk70nRrvfD3Wwbirl2/KtHxn/OXbYy/fo275Rmk06lMUjM5dauTjY1nFFdW8
Oedz1PR3JRmYTe7VzXuFjytcMfQ3u3T5Bqvlu2wu32pqNnOURr7pbMPDI2CkAfc3z4F4eSL8P/bO
a0ly5MzSTwQatLgNLTJSy7qBZWVVAg7hcMChHE+/XxTJJTk7szTez01bm3VVdGYEwv0X53zHLFi1
lU++wNjK63OAAiG+niHww8bjcj1XlusJ41/PmuB66vTX82e5nkTieiYxb7WPZewIxCEhR9bcd/Ub
ZLzhWJQwV1U/ZWcSZ3KcwGH8WVSuOavUwokUltF9XiccjAl/+kwBEn6FUZzv5yLswRCJ8J4/bd0N
LZG0DsiSrRDI64DnmStfKu3gj+oloUIh54RfO07IOVu5zCenHaoESDaQrsJ6DQO8M4faz+vxVkYF
mrygDarVgpNi2bgJLA74OUlanCRic/UGqBk9E2nfCrWiRIZ5aLJuzG5c2gYcCVqwqx76eBzg+Egm
iB1yGpAsmQXBLc5zk20SM7fY+5dg4b4OSGxkSH4VrStZNPu47b07j9jqCxlswcNsgWisEg/tbuE7
j3rpiBn36GvtfRsi2UG16BBnnWLvgtOlsHeNTHLZEFYILrpoyS2UTegNrpYL8BMRx+Y7OlxB6k0u
Hc4WBKsJj5jTOjed17uPZd/yvsj2gVX0sl6KAiiTNmrdu/Kg4Szviqh/6cebEL0PZgX7AvhdXXyk
FTRmVrqmRs0RFgCJY6Fc0z2ZZKUSYgvrRk0rQJuY4sbihyqTaWeK6cuRXruOO28dJ8a9T+12umWz
7a5D3f0U0U9obsnJMKHnvDEuYwKuAa9p/RVcWIalDQAB57EAArOZqxhw3JQecrYsYJ47ezu0foTI
aibBr0lr0pS9EwHsj02JrC4Ujndjcf9v7UV9kcdiXT8j8DpGeeQmT/dc5y+Lo8R34E+oRAZYA4Sc
L+cCGxALAYxZTmybTeG05htLLc/gkDXKA+XX2wVYewFf+c885n/7vH9jNPjbjpAh3v88DL18SkRg
3X/T5vHX/tbm+X/BM2bbXuwHKPhj//96CiDEkh4SwT4PfJcF3dU58PcNYfAXLK6RywnBWpERKL3h
39s87y8xK/SAV/Sugzsa0f9g/On+P2hWOwz438CvTSAaOUF8bQP/CREbtFoqyy6TQ9GJ+mAgFUHO
Tk7wLr2V6jM3WwfZ/FzGhdz7Y0UYUr7MLzWh5k/SEW9dlrQXq42hlqb1fI7caXzUo//gSBRd5UJq
iTNh7HPxuGPSxDWDQjp99d24vvQlPOQuTdb+EA/nqtSPFqxaJkJz/jOAg7oKxoKV2ljdFzEuXvz5
NTouHRKKQ/HKrUk7umwULloEZLQYrCZSpkhGXTizCNuCLYChLG8QnNkpRjiSUg+WxN5xAG4yP9HX
5e9Cqd8l7IgI8aTXdojSih/CBYuVuPZB+P5tQYwOMHNynyZyRjZEwOqN9CGB4Ljc+MMV5BJMmCGt
tH4kAb1lFBgcDGpHIA8sRToBmGnpQAGNrQCjlIt3WKOoL3vkXCtL9vxCemoRf3lQm7orciyBjoQy
dde5XPaaR6Rc0aOqR3sqfk2B9jeQB9O1l5NUgdwbGW+s7R+1Q0DfCo/+uCdxKuNUIwV8nOZ1703W
0zhE1QM7RmtfTUEqNwo++gOB3jGgo2zCMQ3vYLTXzjX9ghBB7jCOUkwS5Z8KVVyL1RRx465v/bpf
BczVcCtWDDArlWfWseNkPysCcItdil2BXOFZl8QBFylbSjI5k/PY6OGtJ823O+o21PkeuMJ4grDZ
AopMljbcjIHh5mAWgpGjYFXLEq32AXC13vwq5SwR7V/3zCs/aq8BcXUNR8hYpOX2Ec3eqm5J1VuT
54y6f5qWhJQOlEzvvQ67y9L3PhZUKFdizaKODjGDvbvpwV+AF61onlTXY2CU413ge9p5MGUfQ20r
tMUF6kdVtEVyQsGbdBTOjwXklPwQXVNN2ELZHm4WSu1lQ4ni3lrWJL8bJeozkrIs2/ZGdWrP3Qha
osB3fur/0M0mB3XeOpySBz1SqZd2yM0+sc2DNt/bfY3U2LuabiJqcu82tv33Skf3c4ElsBK2S+Xb
HfKeJjno7AsOFBTCXvM4Xttu5T8Rt7o1jm9uxbWNrWHBT0N7U2TpxiubY5hfQsaW1JsJd3+2rPuu
4SNzp2DT16Y+Znbp3QvjWb95nEkHZORPz+P2grjEOX6w7VbtmgkdAEfULqnxcvOrfnvLQw3aXMf8
HcdR77XlFg/ato8qzMVm6vD+ArL0GeEUIc0rfniy1J4SxQoztPR9zNZWG0wZ7dQxfwji7PBnTjB4
+XPNghq1e0TKc4WAuL2yjMOwxsJiLMj2daPXZlls/MuN9en76J7baD9LJH+LR9r2qKLsIGMirtvG
20Q+IThMlZBhpo5sLrYowh+JyZ7cqhYbBFDDfkorxVem2JU+0HzHi66ihDT6WvyFcsgxWyeeNet7
NtMeaKRcVulxDKInjr5LVoAZ8lrjnkoR7/o62JoC+5Fv3HCPR2Zfq3jYsxj6RQyCZndhfuPguPNy
RL4jItedr+NnC/DA76mPy59Iv7//6Xb6b1ZQ7p9tzr/2h+xUEKWwN4viK5r8X497qWbUfcJJDlZG
FF9eF+4KuwT+12xWwV0OEkWsWfwGahsgU7rYzSzes6JhxjCPmECgEQAUoJoO+daFDSPxwlVDss3m
sjM8lyKmjHFKhBnEvpnXppPO14iw3kfZOKEbYaiC3I3RGyBScIbwEGbVjafSydn05FBmu2PnBBwW
UqVnqsRx3AV/ThPokZws7Z9TBlRqdZ5rbKLHgexfl0KZ5UHedeRmD7Zv7fDhFo99YTGCqlo7OnYt
8EF06BmsR7xAbp/tgD8ON1WqdxMRLLtBCD7NYryx/Xw6BwDGgermZ6gMxbZwWRSUbpJv6hrLnStx
3410h8u1TSw4zm5IuAn2LZF3aND7gKZAaFzL6Z6O2z15Q9T/dmAnvVCuN9vWyyueVd3Wcq9LZ5j3
xdgkAxw4AXKWQZfYhHbR8XSzMKW/wfpWPgmjnemMpB+FdjHROwdoP+ck7NZsouoN6kVgjdfem4UD
kwzacdF0xRmnh38/+HJB8pNm8oNDAVdDG+HXaaZmEzUoafhA2+JuVEP8K+uDYStk8dBVjXsKbTJ/
G0TIzoVZYAkv9lpa9n8tM/t6IdoBXMg5p1W4k3Ft7SOwAICvRmvvIOS5T4mJXjVRln2lRNgZMkTb
gcQ6Ti/sgu4dOw3gRcxoN43j/PSJsz/Ys66ZzwagMdy6u6+YNaxE4O6ruoHm3pKFMukOBoU10o22
SCnmrt3SunZr1rWChgRms7lRffCeZ8u85Z17w/RBBkNJgEmTJSzi4pyYb+U810nfkFwyHzofM3BZ
qX0ye78ymwjAsLW+WvgaOYxQh6Sr/uRFxSZ3ihssXGddp28p6U0xMdbNOP3EMIwGI7m1x5Gp5kA4
/bwMvzBCObdl6/1G0YOtelD+xonsbhfPVnxonP4ziLU+5ddNlA7L/JdJkuk0hrF+qEG3HbWGIlAo
ESPhwL8yjvqLYpHVY+D9Gn2mvBYO8DW0iHhTO0IQj2p9LHmd7Yklc25lm1wAG5q1VxKYIpExbbzI
aXZer9J1O2AWH4MO8r4acK3D+U34sEsS7bd9zOizCneN0v1lUQ46lcWYfeQT2wgu4wmM5Izo0hFH
t3aZlTgmpPhwwttsjpyHMpD6PpDZ1ktGcbSutv+MGQNZhrhtTmjg3GnlWpX/W6cVrLLBUd9QieIV
13ez84cF+5gOcMnX7pVkFmSbwiuLfTvNRJNUA/SzOYgAoYWzcd+iP3i0sYOUJgLRA/r0ESxLURTf
+R+wWp3CXCyGrA9XgTtrtbc6EL9bWO011AHu6O56W5d/Lm715xIP/1zoXgQE9xD/uejHP5f+8qcA
UBny0NX8pzDw/xQJ4bVeYDj0tzS7/+22/l23xbUUs9L6/0oyTzmA6Py/7tX+8Tf/2nHF0V8Iv/Wp
9pCPIMm88or+6uKOr4s1+5rYh7TkD+HoH/2WG3MfJti+EUqyjPtHv+X8hQBGN2ERx5wBQaf/n/Rb
mGu5YP9xASOAQf+CyZxoKH5G3MDX//5P/ZZd21RilgG44fhLx6NtEw7nJKBCYVQGA9TbIA3fdGbs
aqO7UPRb3C64BKCpZM5Ga9dHXa7a8WmyUfKtogDTXV9Z9SWeh37nTHn/SKIMpFmnQQwZ1AuDEFOJ
Qz408swPVG+YS0+HKRnCCfZjPM03YWN3Z6CKUtwFw4DjMAk97qGKpKn83EWRdrdF3lSPTPcDs1pq
Y8w6iJZrvlxrS2yDUU6z2BQCE+XArhwWXlHEBzuRATxwwpofxyEg4sNYUblxZvmO/mVOCNF1hl/8
cgimYw4FWGfe8BzpkNLYtZDkXFuoFCeTIhoVndnU4PxDIB/44Uh7RDJ2sxMLoaobPafiVvR0Q3RY
9CibLFKLfXJL8opWKY7rclUQ1YlZi3m5ffAXnCfbtCPAe52EUzivRS6tHw2hvkyzKiNuMIkWn209
iBt2oL696pomEufZxVSwiSvD/Lj2IioYnCzQERvyjkimaIaPyi0nAiyGvvntsqP/zv2IzZTVK4gl
3O+XeWIYjDM5IZlk0HStuFjn8uBY7nRvLdb4gDiw/vLq3CJXq8jxmLBBsd516xswapQazd6nlbhn
H5fC/fchmK4WvIQYP7DoPDdeNRpAnHbfgX0NVbMm9sn5DpWdcBjDHv1gduylu8FiUwFieaErZhTl
rTnHCLEoopJp05DSsDk0xjtHyXHjdrq9V8ZS9/nIKtbrGxiNRWzftqgqrRVElXraVEGAjD6o1aet
+5nLsPAGlj8GxJOKyM5CVbqFB6nWONT1RouY/mMxpGP1Pm6bJnDMDib+zLme4rjNJJLhoNSvs2rE
m58USqNAZdwY21eYV9ovT04zz/cMdjUeR1ZzpZNMd4UTl9uqDGhmiPS9DA4X5cBr7aOKFEpi2ym4
NGExFES4YzQ/0rR0Ll2kgIrFEA2lZZeeINQ2B7fOk530QrlnpF6/do6v1k3svYQewicC7ZjwkjvQ
jufR5WuwSmAGryhvy8eEgI0j8FoyqgY7pp8Q+owO195A/DYvKpMsMIZhPnk9iVR5tIzrlsQxswpN
lwB88nn/SxcqicPu6sFzx3hjJOhjnnVvr9wCq29OTOV3PPn9w0DiLrD6wHlasml5vdYEB3CMBvRV
0UZok2clX6scog81jnotm55At5wZQ+QER4CdkNRKXruwU5JzNUTZexSe7Ufr1vpB1r7zyfQ5aNat
GyVPLqDxtcxpPtdFPQQCHKsBATkXXrGdPLPgPAndz2kperNSlvZfyJWB/DxCxuomSLZzVkR3jFvD
H0Vu6W1eByltHnpi3KVRejBKOEfW4dWvSKeJWTUtnv1VbwXmrogk+2JclerbJbfu9fogPHtLtHzn
0TRhSpns6mWhyH8w9XwfNQIr0Zz3dbeOAmfi97QIXatQHn6Ql5lb+8GfZbBJqiq9Rf40nAxnxGM6
i+w3Xky2VOE4mzdsR1W/0hzNBw/FDuNZL/W+IXMyOmfXznZVl274jOTbcWkOWWiCIsseuzqTnyEl
5W93HCTS3RgWnC3C0V2rRBLmQOd4E7gZ1nuczMtuVj1RHmwcVj6Lga0b24SAhjwDXWfaXea7bJyg
3XWnhd0AzLQKuAAU3mE5VCYGMSFNPtwTI4XDjyE8q8YwIIMj7l39mLlVuxeQdJrVKAb9BC1VbMPQ
a4+w0cKzF1bpY1b5/kfayfIk7SX9YU36iRXNzKRgQG8LRrd4YPlR1tj2SrEa9eKi+vMQIZO2BoAL
fbV7dBzj3YRljBunZbq1cpBh3ZXBnNwiY7Fdzgdr4I2o/OVhCnU2HTA89k8w4qvnfMwIHCnQIY9j
Fp2dOLcfPFlMJ+EnIcX2WJ9EOdSYHAE3b8tyTu5qaQzpoSzhyqKDRIKRFo8jDABhbXvdh3R+ohXB
egqZSvJVQG+V6+Yha4vs7PZjeDKs0D5n3SafYMeJ2EhsfubJ87pfTt8jhmuE+zw6IiYgUkZbivyY
zX2nvrI0mz5R/C3EKHkBO/jSKlt8N+PUHfAls74ThDLBHJDfcFNJs71WG8hJeg8JuUcF7gaY6SAk
NzfFVHroBK7vqPEAjEdTAPKLQvuY52P5AJ/PIgTBjmu1A0rLfRurpL1NAEZcKXzBNbZkGqdPy6sY
SeW1mz7mvWEAM6L/unPKIUd5Hvslc7A6kpdU+MVODsI8dEgZuNmJJ3+QTVQT/tMkmvFJwVSm1Fx1
cmRxwfMflrcoPUi0zuvmlAcaf7bvFe6vqCZKkLTyYbLXqeeJMyvaKdm57mi/hFElXrmzadEhUVL0
R0kz/pAAVM7QLuiu2FW/JMAx1g7ToitKuADVVrqDda5EuthHMWr5DOgae1QLH48obcv2z7k03luj
bEgqc9AdhcZHt8Ld2pxGpqbnvoncx9mO3ZOf5CUZXjZw5ThjidYs0/0iNW9IwqG7sqK+fwuStvnO
43F5syciCIEfyKPGU7UpyAd8TIhcv8GeBRofh2Z4nVbCz+mxrBPEmPmgZotOhRcBVfkWE2b51iRO
yMqV92yftnIAiKKT6iYxQ/yRLEwTZhG+2z6dpQlLQDCWz+Oc+UhvOuU/WzQ3xzyskWwmntLkv0c6
emHBSE6MYomzz4Oy+pCZPb26HJ3EMbudAlzuALXuFyA5ANDhI8xVfgpFMxyNsWJ4FW24T1NrJxib
EdZc4E9oxDT+MOBvCgSufriuvKj8iM11UpIPXnzoUpusRjPkLjoKe/ydBhqkNHFYHYXR1lYCGp6n
r1uQ+MBgtWTHWAZnfL/PSMC6/ZSMT040qrcOz8N+9DvMHNEYc2IVY2DvZ0szgWuqrHoSPCZv7Wyz
FE/H5SAma6y3SJAEEstknE8DTDSIvAMrh61Erfye6N78VMQ8C/wuAvnnVMGp4/pBskkQnAILSMoS
ExAiRTXsyWwBUz0EmmNbVR+iDSfexGREm+Nyfe7TghX4kg/lPXnLfFOTxjAUMJZ1HzbimSVqdJ8J
P30WdgGwjXGqd8SEjUSiaIjAUXZj/VYBAdbYLrxDUbEULFjA7jI799eVGL3nyT+mV2PEgshW0cpe
dG2jAbEnfzvVHWaeBDxMJPP6WDu2XDNAzu513CuCRp3bCBriLfYq7NWdPT2kbSNuyOh2dqUlrHzd
O9yxqyl10R9H7RRtxrQhqKlOiltnnlEXtfVUbi2dB/UB1kB/6Zipk4VJO/MKGuVqa+6bnGhyIy3k
LxSIrwjZwnjjzX722nLWcYOZ4FFFk4sFn4kV4ROtrGAQWXECyY3t8wszheR2MsTiZFFv0VhnJGpx
iM0QALuxfdehQwIBTqYbMk1SVgtyDF912AQPHHZsoevWzj/4Ats7z0ySEtrywFsnlXyKljm7qDLo
OFF7yMrJouKTyy/+nYQjW5d8yiJsPtSbRwm1APfpIq8Mc4QQwJ9rLEue9nR+qMEdSE5N41ibQZNE
ssqwNSGstms+pT7LPHZNmkAueI2Bu+4W3/q8gmqeJPg7UI7U7BtVy/oOJ/jwAb7TKNQkRl6GOFq3
8G8RSxFdYlbGH+27WIfVhy5nOrTcL4r6Tsvc9lZD21bBJsh921/BKU/njTPOTD5tsm+8w6wcciIa
HuVDOrrJW4ramxiuKAX1XbJq9tb1gF8MkYkPdBaFig2Tc3HetLb8bN+HdnyGlsBip3Az8dJYcW2Y
GXVIg/2i8b9150P3Vi1CqV1q9wzs7CiGV1dlPBx3vefTclQVqRVoApyFSw90PneVeeQ7QwgHAHRW
RvlCrcHpfwY8dOiGWp7n2PPfOJaCx7DhOhAFKCg5mv5pRuZVUk0tb9OSRdYqycWMOAV/2rrL7WpZ
cSSBHvnfhbTsRW/+/YiEyUFwDc/8nzfSz7/RHWef8vNfdtKh8/e/+bcRiQPozg2vJhRej10A4t6/
ge4izDpBxCwmYQH+V+PN34YkToJbh301MrrgOsCI/zEkcUgMv7p1rkNpVlNMSf6TIQmv+F+HJEHg
gRSII/wfPFvuNWLjn4YkoqRx8gqyhbTdP4as8g51P9NNMlzYJVY9/caowLWOrecwNLVZg7WDXY/S
8BAujAgSIkHs7Rj6UDgrZwoeNJYWfI2pPLLtgtJVlTOKtSy8eHEGpTxNKMFgt/7qQEXuoEcVES+p
+p9IzGx9KRiAMwS43uj4gPPXntSQS9t08HbxmYt01dHsnaN5iY9imnCiz1kA76Yo7Kv5YOpoEXza
kkBOX/gRu62R8Tkup/E9dEnRChpF4jFvh1g4TSP/wMEM88JaVLmuO787kqJVvIBgowmVXGsLhLwZ
CApJc5ZcyySr7/Aq+c0apY5CLAd94zKksZD7mRnUi+zs8YO42YURPFCFI4SW9PmqwILYhArTINoL
81tTdsxXkFKHzCdyT9wBjB5fMdEIYp07YZ9ne2FwPJlbxzjjQTh6+mrgWfygDmWYoSut7/qSuPAN
ZALCaioneE1tmDq951nPWAPtd6uR8LNCLxqPBGFPDyMriW3nZdmv2DBpWmfhfP3BKyIiSn72AQdj
0MTdoRnc5sauBPJxPmb5k8Dn4KhzG8HTyDKUHzJOopUNZW1fEihy59ZJSm0ZGbNhjEM1GFsEeGZB
CIoqZA8DCKk7+kjENxSRQJq1zTTaZZXIKvxxmIW1muDmoV5vgSDVVlCka4H8DkxLC//BRNOFB2oo
WFzGytqzS/W3lCAR+yfgD7OGnGI7I3cY7TjGKfGqCH3eLDNQW8diiGZZcHbqGOA0Ik6coSw3mBBN
3l2elPa2iovsEA61feYTJd7A0u2uXkr7R7ssyyn3SXJqaJIupuBB7Zop+tmXct7Z3qyPZeNyB8r4
uW2nNYbcBn3WkN/TOTFQo+x8UR4xgNkQ+5/CGcxZ2J2/RoVG+CxSeQZa+s221UedM81wIECs+JiQ
lo+YoeTQS3+LlEU81YS2deCgFfXUkOOOVTtIOEzeJDfIMMdYXgc1wNVj6oWb1S0jcD0ZWK6piy7a
qcNHJBKhPNj9XJyqnHhWHdmUk33RlJsGZFm85w8JDDYziLQVlCDz5LZ2e0BGF9zavH0sTnukHkhd
xJHoCWWt6ib0X3GJ+7dBHXsHp2uvCbl1A2wvIvbPHnHOdVNN0WvmVP/EWoxaYBji5DmSjiITgapv
lYV2B3UnCM09mycyYvDKb3AV26j3lji7V8jnSH3oM/E4A7pgxGNgbYO4Gj+UKNStEP50MrYMbvEV
i462clx4JRbiGNWcx8RtI4IrW6DZqQrGZ2BD7stQR9MhxMnzM6lE/Wx6t+kOblj4P3m+xXcejp6H
28FpY2T6bv7psEmt2ILGsLnTPIruCr+V5NzWbsD6svbaXdkU7X7K2h7/b5DmezWU8o51qPc81ihh
0y5wn0owhjed1br8kCAe73NBpB1+r9bZ2lTw/n5AgHK3TIWDJyMLEc+T+Nbnqv4qeIT5VFPPfdWN
7m9Q7XjbFCTXAc2SOKOzjm+lrJHrY4G+4oe81D6HqXIOSYvgMnDG4oYxXUn6e8DUb9WBy3i2gnAi
rzOsoNsXTnQblX39EHeZ/ei7M3MghUo1JzZoil6yqoZ8NijTfU00eSTEAbuIbFXg+A9aZmvxqSCg
ke980bQ9jKGxA8zZlIh7p1ZvWcoDLAHVwvhbgnbreosxRkDV513TR5LeOcyxUz+ERU9aL1/cLbtU
se/4x8qZFvmkR88giRZIb0RyR6JPdinnOv4qvQRFLcnwO8eFiN12/XjOwto9REC8fpYL88hxRApU
yLTfM/2Kzjo1fIZuFt6kCdy1aiiGNWeRPDPiKABDgdLeRnX909FVQ9CcxejVl+EbPsFdGA9vRUhn
yVc/PzplCHXfzTcW5sdffiN+o5+JtlBezDqvHCSYDRHBFcZpYfntPhgC+OyOuKMjjUjrC60HB/3T
wSyZJPkjPZFvHYSrJpztLWsF826UZEqR4gV9cFMWKxsYsGrb4cNbZPW8AA3a1cGI9SFX75XNSKhS
vbMJO/GzsMapOrm+i25HJQMZChkyfcRNy7zrU398dMh1u6BHIIAGWett57pnQLs/hllB56uRqGga
Tj1DEaoNC9W4cW8cdGnxqsnJLFqFHV0/OP8GynU0FGcXNkK80goaCgLXtNqL3OZfh8av92x0T10J
amaNMaU1mwXMDkvZuDc1QvZJHcau+qxNVZ/CKhw+vEppwEm5wQJg+nEvc6dlAOpZ7WPb0+kiQAa0
1fn0BdE4D+ea8XW9Y2sNqMEwEV4Gy/td99lIBFM9ourxVQ/9ETBDRbDBIEYg1pp7QLi6melQNQaQ
pSrCL4lS6i4K++lOlDkTPRh7m2jiEkuSwdC9ExbexHf8WgwNswDnDhZVksPTpEdCgg51fk3T/FfC
4/6xBOGGsucS5CTYITgoPjkQ20cR0lGTnVN7+O8p9yW61hU7KfcBLsDyYWVQzjNG5id2ETQHFPGk
90w96+SkmxiqlcFPzWYFMhLVTeaQ1RMTQM+m2opYyqjupYlGecjCaotmCc8n6Nt7VaTZ63U/QDzA
FHx7dlS9T6OvdozPCY6MK1LSDlWPbBu2YwAVDtUUIFEJcI5keXnPHTDtSSwbb4EmLyeXguxVLGwW
Zg2wt3XJsfPaFrFRHfRcSFFws+CudNcMDxDoMMNcBUm/fLmQJA60Q3rjBUu6gxMykiDuBPsyD/ZL
X74wqqFlCQRG1IncCZxorg42kU37Fs+SgV9MasgwdVhGMP0EDY8iUKetayMS5CAmfWFCFRhaG1BF
D5bXeqemYS5QKhNg9k2bT3Qbaq19SopA14iAY2nvVA8Tz10AFhVdHD+Ei+XckKg27Wql04sExbIS
kAd3qpLs5yEAB8Jzb7NxOJMQ+E0KGyNMjK82zFyq/V8DQcn+EgCgcCm1bpOSRG0JsfPcL1m+J1tk
dcUpsLTonPG5h573Ynwk2rOYx93ksLzJckQWCYQiOw+LDRYLucKwCl0ewjGdr0p2zBpnUjq8+YO/
NN6IOlp+Iq2ftynY+52Pvu7GVqX3xvt9lRiGgyzXSokI0Q2ZzkEGCkQKP8fQFEUPauQuBy9F5FCb
lncI5TGvgfl6gCcQMz+R5c2YWyVCQSYE93xDE2xVKu9u6EPqB5m5we/FBtQCYljeebPr3AaDGwLy
qILfSZ4mlxBfFFjrXDx56IAQ94TA9YpWCvwidX/h2KyO7VJOG91GX9kwJodIFtUm84vhtved+MP3
IalJdobsabnoqYu8Ql0Uljoqf+GJY1NnWiPKUYbTA6It6hNJInczHJIuCgH9R+YRJRG6frJKTo2I
UnyTCf7rGYnU5Gl5N6NFbeBH39sp+NbJjtuDF8HmM6W39zpqcJMVLfaB0NnWHTQYkzvNbRcRKLlS
aYYX23O2EsHwZkhCQfJAGbzZtDK8zTGEm4EDj/qxec+lCH6w2yhPDm4P1IPav4mdHkbNkgH5INEm
yx9YHVhMIUICy9Qyf6UsepCtc++lscv/2ehxpyPu8Rl54rmJ2pewHwl1sFKqTGL8NgMFUddl5GaX
e3Q26ujUmELHZrznRgVQ4lHybmxsjKvStjY29GE2gimmTjV9CZinzyUmkVPRTYbHehyPHuilUzQP
1dYFdrqZ6zI9TOSjJPZ15dFWxTGqfk2jnfzKYuUdi4aXooS1V/ZUgaqzcnMG0ovc7io53LkQ3Igb
nOwtPJ9mJ5eJt8+f/DsriEkNysvufhqYTuFLUz9tHphbEgGxULnI71EGE3nhkHCDHwnuXmR6Egls
cG6ZME9pKjT1QlF9so5c+FUUUR04lb5oxlwUgp2zAVFDZH3Sty+WtUzQHhdGu630nA8ZNdaPOkoG
YIe2OgSzQfcrkkol62WuaXpApN53SJAJu2eDGpdk841JUu5iZUi2gBIaLnRyo1grzecVIO58N3Ke
eLKmcN9cE/lgs148hokh0qmoQWoTDiGyQxF/JxT8WBxuZpnw+hhM5lEyqMYOQXlqn8oQU0Md1b8R
4xygzj/HQ8zLOKO4F1yJyKekOeg4ynbG70gQ9Zr+WPJbfrR2M36iZuy2CfawV4sx4k1jmvTLoma6
yqUkfMAuSBDIZv42Ae5zAWCnbsLerz8imHPURkFwbGxK2sGzSL3Dw2Jt8dEJ+5AsARAr6VjzTSsl
Rzwqs2TvkrjKgqRpmRrP8NPSroi/bJJIroF2LFNMlUY/khBW+4r40/JVUSJtVWKS235aqveWIL+9
QUN0wGQ9f4aMa7k7SuncV8N1FIeW7iGzLASLwTI/WFpPekXU8LgG9eWSJgPWcGFS8ZjUuBMzk4p9
2E3qHVS14IjX0PeMD8m2nLoLazoboDIRedsB6cLGZej70AcssahYxu43LtXx2ZIg21cI6jUoHMh0
02BIVC6NG39U2mv3SDO+RSmR6+d5CgEIGwxkZcdeI5UVrxwczOFsDQFPWcFwmaPFPXUEq+wsY+p3
rMZUrsw67yVf91UOYfE27cbgtvo/zF1Zc9o6FP4rTB76BmN5Z3qTmQJp9oYm6fbEKODBK95Z/Ovv
Jy8UE0NoxTTxWwIcSceSzv6dCCndSCzIVgPfhMcVudhiPHS0JLiHcm0HPWnqry4jW8RVE0KIPkyR
WIXScFNxke/r6RcOyaJHO4AOi1IoBBAB9C0PurBibsUpmfZDF11XVSCBIW1Z0/qr2Jl+l23dukAA
XtKRjzq3rxYzFb2y4kV27UE9uw7DbPFznknI9YcW+jUVF5AmmS1998QlWkPPif081VLIotEi+6Jk
CqppnECY3qL1ALmbxXPUHRDATSm2q1wJwXwZ9rIQDZPQO1ZV6FxumwGQxCSBokugE8J5kC1/IIam
wddid2M4HpBghrqjrp+ia29MgLGrw9oNR+3s80pzgjvI8eCXuRwB+EsLlfMskGEY6KjTW+mif4+U
Ix0hMkeDoxwIFySdK4NFW/TQV34FFctmSeE9lLPPf6J1FErpBdu8H8lL8SKKSaah8NFRf2VkhD4y
yKjuJYAfu2k7CrROy9bQ2SSVw3MNGNdDO1aneLU6DRbwgDDEqgxOq8/CCjY41kH6InAO5/AxqyMd
t6uzaDtoUMV8DwR1r5ck6ZJB1Ha9b5IrhNc+ooLzcwBwqM9tGfbFEjEdVJE5qmr1tHaISgCJBIDV
sBDJw6qh3rbV5aM1st07S1YwWXEJkLeljNL0f+v/Zbl4Yx82IqRZEp/9V+bmDWhCa3+c507Zr6kR
rR4MoMIl+z8FJRCeGj4jNPStWfLkvyBx0Jf2E2oZBzmLc4RDGRBDNV9xPq98SfvIuBTu6HRinJ6I
egdd96SuoAJwiT1wFKP6c1p+rGkdQhQZVhmB8xcPXMIYb4Ojuxixf40Vv/cxtLaAMXD0E/ae0DJ6
VnN9swroQ1iwRWGDBejioogKQevDRhZ0O2hEo8qazPzfb8gCOvGQkQ0cu8gaJ5sskLoiyscO4cEW
iQ0eoB4N7kggcaGSjT31baDjY0BMMsSSN3r/WzMvjsjV5PSEsMI63tVLHTSxJJqCBNCG1Wt6B+EQ
5ERK5SEodty/PwQ7maChhkGUuDeBiKJEEccAiUdNbCAdAA4IKi6Ed3oQRA3QCLx7Qe0gb5eFpJov
RFRnAi0a3VDLy+Ld7QWE1QjvgSCoaSWCLMo7doLaYXFCXBYM4xbPu2MCzHaxEFVbEuYPRCPCoYiD
Cizu2XgcwAQBri+RbQf2IMb5JqJx560gySrDA+YTDAyPSlJw6AsebAsGoYNYMMSn/l53AiAGSfFm
/n4niDj0iIlrqPEuXjXC1RtKEqtHwM0DN3d5J7y/nSCqKi8TCOkI0JEE5GDXVg/pKAuaAFDr4tY5
SCwe8KW1Jt03LXeSK9qWEW9o669+oVJBXxIoVctcf4D+WPsiS9IoSP/Ww89qZyxXfzc+rNThfJzy
5+UCXw5dG6taVfXPS8uIaDQGDmduApTT/EI9aOqfZhMTwKzDiE6M2NzU/5DFgQ35e0KnJ7XpbtwA
e+nHMfUqMowzADNgIAe7jZH1xbKPLLwCNKrIMLKFtspL9pJGq+0kGElhGSvclC2PjgEM38hpWZBg
cfEOcU09L219oF7wsXVDY9OzahyCXGUSlXeUGxrNYKk6W5lCuXbATRv71N0iLDOEQV7Ct9SJTTpZ
GEZQEctPqQY1v/pHYxrVQZvxjk7MVfMZKswI3unfTyxMv5pofopgNh7hZQ7TSTo2DRQG1IirEoGl
xjvrYTqz6XNFJ5810EmOMOsHatM4QUFfjXahpfNO+tFyHKt2YUmCzmQQL+En6lkuwK8naUUrv7YK
EcpL/FuSAFO74RIvlTVe+j+MOGn1DGQIurXZF1oQL/U7isscF1YS1fZ4qW3zUr9IbVCvuTbWhi03
bb82Y0ZXFY9wlUMqU4/OCrx0a+w/4+1exQwaNt7kP4wlQphtyruOT6ie2C2e0P2JqEe5KK3Mj+rq
AEgzwKIjSNgnlIik9R1UEj/C6f0j+HpO3eYVFGBO6vuxp3iJv9L8hpP8wHBNq9rtuQBfu6t5T8Bg
fd7Q5qlhiCPIwz4rQbfQ/KCuZhdLOMIh7psmTRIrfjFCWel+hGOQyxk0RsdCajwqRziCLvVqrT7n
Fno10Z2T/qGN4zmHab6PWpAbrZ07mYUaBFVHCyuZKPC+EIbNvf/cNNmb6zjNSyu0ir80/axuYrNv
jF2DRmf/AwAA//8=</cx:binary>
              </cx:geoCache>
            </cx:geography>
          </cx:layoutPr>
          <cx:valueColors>
            <cx:minColor>
              <a:srgbClr val="DA80BE"/>
            </cx:minColor>
            <cx:midColor>
              <a:srgbClr val="C068BC"/>
            </cx:midColor>
            <cx:maxColor>
              <a:srgbClr val="7F137A"/>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Meesho_Data!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17" Type="http://schemas.openxmlformats.org/officeDocument/2006/relationships/image" Target="../media/image11.svg"/><Relationship Id="rId2" Type="http://schemas.openxmlformats.org/officeDocument/2006/relationships/image" Target="../media/image2.sv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 Id="rId14" Type="http://schemas.openxmlformats.org/officeDocument/2006/relationships/hyperlink" Target="#KPI!A1"/></Relationships>
</file>

<file path=xl/drawings/drawing1.xml><?xml version="1.0" encoding="utf-8"?>
<xdr:wsDr xmlns:xdr="http://schemas.openxmlformats.org/drawingml/2006/spreadsheetDrawing" xmlns:a="http://schemas.openxmlformats.org/drawingml/2006/main">
  <xdr:twoCellAnchor editAs="oneCell">
    <xdr:from>
      <xdr:col>7</xdr:col>
      <xdr:colOff>549899</xdr:colOff>
      <xdr:row>0</xdr:row>
      <xdr:rowOff>15460</xdr:rowOff>
    </xdr:from>
    <xdr:to>
      <xdr:col>9</xdr:col>
      <xdr:colOff>1249237</xdr:colOff>
      <xdr:row>6</xdr:row>
      <xdr:rowOff>133165</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63789A51-029A-882B-9668-6323665D870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538540" y="15460"/>
              <a:ext cx="3333047" cy="12274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103943</xdr:colOff>
      <xdr:row>0</xdr:row>
      <xdr:rowOff>59184</xdr:rowOff>
    </xdr:from>
    <xdr:to>
      <xdr:col>3</xdr:col>
      <xdr:colOff>177554</xdr:colOff>
      <xdr:row>13</xdr:row>
      <xdr:rowOff>148719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FBF139A-E216-761F-723F-9EF7515B61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08564" y="59184"/>
              <a:ext cx="1397864" cy="2493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295924</xdr:colOff>
      <xdr:row>15</xdr:row>
      <xdr:rowOff>7399</xdr:rowOff>
    </xdr:from>
    <xdr:to>
      <xdr:col>6</xdr:col>
      <xdr:colOff>399495</xdr:colOff>
      <xdr:row>38</xdr:row>
      <xdr:rowOff>51788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37DD6A4-1722-D063-3C2D-9C794A9CA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24798" y="2781671"/>
              <a:ext cx="3965357" cy="42982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680621</xdr:colOff>
      <xdr:row>4</xdr:row>
      <xdr:rowOff>147960</xdr:rowOff>
    </xdr:from>
    <xdr:to>
      <xdr:col>4</xdr:col>
      <xdr:colOff>1028330</xdr:colOff>
      <xdr:row>7</xdr:row>
      <xdr:rowOff>36990</xdr:rowOff>
    </xdr:to>
    <xdr:sp macro="" textlink="$E$2">
      <xdr:nvSpPr>
        <xdr:cNvPr id="7" name="TextBox 6">
          <a:extLst>
            <a:ext uri="{FF2B5EF4-FFF2-40B4-BE49-F238E27FC236}">
              <a16:creationId xmlns:a16="http://schemas.microsoft.com/office/drawing/2014/main" id="{CD711658-F4B4-2D42-8842-6E3CAD976955}"/>
            </a:ext>
          </a:extLst>
        </xdr:cNvPr>
        <xdr:cNvSpPr txBox="1"/>
      </xdr:nvSpPr>
      <xdr:spPr>
        <a:xfrm>
          <a:off x="4209495" y="887766"/>
          <a:ext cx="1612777" cy="443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E24E09-49EF-4DE3-B7C2-910D2AAB971C}" type="TxLink">
            <a:rPr lang="en-US" sz="1100" b="0" i="0" u="none" strike="noStrike">
              <a:solidFill>
                <a:srgbClr val="000000"/>
              </a:solidFill>
              <a:latin typeface="Calibri"/>
              <a:ea typeface="Calibri"/>
              <a:cs typeface="Calibri"/>
            </a:rPr>
            <a:pPr algn="ctr"/>
            <a:t> ₹ 16,805,672.00 </a:t>
          </a:fld>
          <a:endParaRPr lang="en-US" sz="1100"/>
        </a:p>
      </xdr:txBody>
    </xdr:sp>
    <xdr:clientData/>
  </xdr:twoCellAnchor>
  <xdr:twoCellAnchor>
    <xdr:from>
      <xdr:col>0</xdr:col>
      <xdr:colOff>7400</xdr:colOff>
      <xdr:row>16</xdr:row>
      <xdr:rowOff>89518</xdr:rowOff>
    </xdr:from>
    <xdr:to>
      <xdr:col>3</xdr:col>
      <xdr:colOff>510468</xdr:colOff>
      <xdr:row>30</xdr:row>
      <xdr:rowOff>36991</xdr:rowOff>
    </xdr:to>
    <xdr:graphicFrame macro="">
      <xdr:nvGraphicFramePr>
        <xdr:cNvPr id="9" name="Chart 8">
          <a:extLst>
            <a:ext uri="{FF2B5EF4-FFF2-40B4-BE49-F238E27FC236}">
              <a16:creationId xmlns:a16="http://schemas.microsoft.com/office/drawing/2014/main" id="{C2A55762-B489-944A-83B0-08618B0BD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569652</xdr:colOff>
      <xdr:row>11</xdr:row>
      <xdr:rowOff>0</xdr:rowOff>
    </xdr:from>
    <xdr:to>
      <xdr:col>6</xdr:col>
      <xdr:colOff>784196</xdr:colOff>
      <xdr:row>13</xdr:row>
      <xdr:rowOff>36990</xdr:rowOff>
    </xdr:to>
    <xdr:sp macro="" textlink="$E$15">
      <xdr:nvSpPr>
        <xdr:cNvPr id="10" name="TextBox 9">
          <a:extLst>
            <a:ext uri="{FF2B5EF4-FFF2-40B4-BE49-F238E27FC236}">
              <a16:creationId xmlns:a16="http://schemas.microsoft.com/office/drawing/2014/main" id="{D62B3E2C-FCD1-32F0-1BF0-AF68E76097C6}"/>
            </a:ext>
          </a:extLst>
        </xdr:cNvPr>
        <xdr:cNvSpPr txBox="1"/>
      </xdr:nvSpPr>
      <xdr:spPr>
        <a:xfrm>
          <a:off x="6628662" y="2034466"/>
          <a:ext cx="1546194" cy="406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4BA0E6-53AE-4E70-992D-243BF33E4F8D}" type="TxLink">
            <a:rPr lang="en-US" sz="1100" b="0" i="0" u="none" strike="noStrike">
              <a:solidFill>
                <a:srgbClr val="000000"/>
              </a:solidFill>
              <a:latin typeface="Calibri"/>
              <a:ea typeface="Calibri"/>
              <a:cs typeface="Calibri"/>
            </a:rPr>
            <a:pPr algn="ctr"/>
            <a:t>41.98%</a:t>
          </a:fld>
          <a:endParaRPr lang="en-US" sz="1100"/>
        </a:p>
      </xdr:txBody>
    </xdr:sp>
    <xdr:clientData/>
  </xdr:twoCellAnchor>
  <xdr:twoCellAnchor>
    <xdr:from>
      <xdr:col>5</xdr:col>
      <xdr:colOff>621438</xdr:colOff>
      <xdr:row>8</xdr:row>
      <xdr:rowOff>36989</xdr:rowOff>
    </xdr:from>
    <xdr:to>
      <xdr:col>6</xdr:col>
      <xdr:colOff>843380</xdr:colOff>
      <xdr:row>10</xdr:row>
      <xdr:rowOff>73979</xdr:rowOff>
    </xdr:to>
    <xdr:sp macro="" textlink="$E$13">
      <xdr:nvSpPr>
        <xdr:cNvPr id="11" name="TextBox 10">
          <a:extLst>
            <a:ext uri="{FF2B5EF4-FFF2-40B4-BE49-F238E27FC236}">
              <a16:creationId xmlns:a16="http://schemas.microsoft.com/office/drawing/2014/main" id="{19FDF669-FA56-22FF-1CA4-9209D2F68F65}"/>
            </a:ext>
          </a:extLst>
        </xdr:cNvPr>
        <xdr:cNvSpPr txBox="1"/>
      </xdr:nvSpPr>
      <xdr:spPr>
        <a:xfrm>
          <a:off x="6680448" y="1516601"/>
          <a:ext cx="1553592" cy="406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9774DF-776D-41E2-9F8A-559B5C71F00B}" type="TxLink">
            <a:rPr lang="en-US" sz="1100" b="0" i="0" u="none" strike="noStrike">
              <a:solidFill>
                <a:srgbClr val="000000"/>
              </a:solidFill>
              <a:latin typeface="Calibri"/>
              <a:ea typeface="Calibri"/>
              <a:cs typeface="Calibri"/>
            </a:rPr>
            <a:pPr algn="ctr"/>
            <a:t> ₹ 7,055,049.00 </a:t>
          </a:fld>
          <a:endParaRPr lang="en-US" sz="1100"/>
        </a:p>
      </xdr:txBody>
    </xdr:sp>
    <xdr:clientData/>
  </xdr:twoCellAnchor>
  <xdr:twoCellAnchor>
    <xdr:from>
      <xdr:col>6</xdr:col>
      <xdr:colOff>336611</xdr:colOff>
      <xdr:row>18</xdr:row>
      <xdr:rowOff>15535</xdr:rowOff>
    </xdr:from>
    <xdr:to>
      <xdr:col>9</xdr:col>
      <xdr:colOff>236737</xdr:colOff>
      <xdr:row>31</xdr:row>
      <xdr:rowOff>22193</xdr:rowOff>
    </xdr:to>
    <xdr:graphicFrame macro="">
      <xdr:nvGraphicFramePr>
        <xdr:cNvPr id="12" name="Chart 11">
          <a:extLst>
            <a:ext uri="{FF2B5EF4-FFF2-40B4-BE49-F238E27FC236}">
              <a16:creationId xmlns:a16="http://schemas.microsoft.com/office/drawing/2014/main" id="{6ABA4E93-F99C-ECF2-7191-CD5A275F1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1335351</xdr:colOff>
      <xdr:row>8</xdr:row>
      <xdr:rowOff>22933</xdr:rowOff>
    </xdr:from>
    <xdr:to>
      <xdr:col>10</xdr:col>
      <xdr:colOff>932157</xdr:colOff>
      <xdr:row>19</xdr:row>
      <xdr:rowOff>162757</xdr:rowOff>
    </xdr:to>
    <xdr:graphicFrame macro="">
      <xdr:nvGraphicFramePr>
        <xdr:cNvPr id="13" name="Chart 12">
          <a:extLst>
            <a:ext uri="{FF2B5EF4-FFF2-40B4-BE49-F238E27FC236}">
              <a16:creationId xmlns:a16="http://schemas.microsoft.com/office/drawing/2014/main" id="{86B538DD-35CF-103F-7309-C37D1DFAF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191165</xdr:colOff>
      <xdr:row>1</xdr:row>
      <xdr:rowOff>5698</xdr:rowOff>
    </xdr:from>
    <xdr:to>
      <xdr:col>7</xdr:col>
      <xdr:colOff>236737</xdr:colOff>
      <xdr:row>6</xdr:row>
      <xdr:rowOff>14796</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57027BE3-0E62-7C1C-183E-565A5C7086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33612" y="190649"/>
              <a:ext cx="1643553" cy="933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1210914</xdr:colOff>
      <xdr:row>4</xdr:row>
      <xdr:rowOff>177553</xdr:rowOff>
    </xdr:from>
    <xdr:to>
      <xdr:col>6</xdr:col>
      <xdr:colOff>170155</xdr:colOff>
      <xdr:row>7</xdr:row>
      <xdr:rowOff>29592</xdr:rowOff>
    </xdr:to>
    <xdr:sp macro="" textlink="$F$2">
      <xdr:nvSpPr>
        <xdr:cNvPr id="6" name="TextBox 5">
          <a:extLst>
            <a:ext uri="{FF2B5EF4-FFF2-40B4-BE49-F238E27FC236}">
              <a16:creationId xmlns:a16="http://schemas.microsoft.com/office/drawing/2014/main" id="{C5066CC1-FFCC-05D2-6318-160FD09F9935}"/>
            </a:ext>
          </a:extLst>
        </xdr:cNvPr>
        <xdr:cNvSpPr txBox="1"/>
      </xdr:nvSpPr>
      <xdr:spPr>
        <a:xfrm>
          <a:off x="6004856" y="917359"/>
          <a:ext cx="1541163" cy="406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7E5981-2F51-40F8-952C-DB7F19B8E249}" type="TxLink">
            <a:rPr lang="en-US" sz="1100" b="0" i="0" u="none" strike="noStrike">
              <a:solidFill>
                <a:srgbClr val="000000"/>
              </a:solidFill>
              <a:latin typeface="Calibri"/>
              <a:ea typeface="Calibri"/>
              <a:cs typeface="Calibri"/>
            </a:rPr>
            <a:pPr algn="ctr"/>
            <a:t>33015</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91440</xdr:colOff>
      <xdr:row>36</xdr:row>
      <xdr:rowOff>99060</xdr:rowOff>
    </xdr:to>
    <xdr:sp macro="" textlink="">
      <xdr:nvSpPr>
        <xdr:cNvPr id="2" name="Rectangle: Rounded Corners 1">
          <a:extLst>
            <a:ext uri="{FF2B5EF4-FFF2-40B4-BE49-F238E27FC236}">
              <a16:creationId xmlns:a16="http://schemas.microsoft.com/office/drawing/2014/main" id="{A272AB74-1A89-804D-5592-E862DCB703CA}"/>
            </a:ext>
          </a:extLst>
        </xdr:cNvPr>
        <xdr:cNvSpPr/>
      </xdr:nvSpPr>
      <xdr:spPr>
        <a:xfrm>
          <a:off x="0" y="0"/>
          <a:ext cx="14112240" cy="6761117"/>
        </a:xfrm>
        <a:prstGeom prst="roundRect">
          <a:avLst>
            <a:gd name="adj" fmla="val 2482"/>
          </a:avLst>
        </a:prstGeom>
        <a:solidFill>
          <a:srgbClr val="7F13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186070</xdr:colOff>
      <xdr:row>3</xdr:row>
      <xdr:rowOff>129540</xdr:rowOff>
    </xdr:from>
    <xdr:to>
      <xdr:col>23</xdr:col>
      <xdr:colOff>38100</xdr:colOff>
      <xdr:row>36</xdr:row>
      <xdr:rowOff>22860</xdr:rowOff>
    </xdr:to>
    <xdr:sp macro="" textlink="">
      <xdr:nvSpPr>
        <xdr:cNvPr id="3" name="Rectangle: Rounded Corners 2">
          <a:extLst>
            <a:ext uri="{FF2B5EF4-FFF2-40B4-BE49-F238E27FC236}">
              <a16:creationId xmlns:a16="http://schemas.microsoft.com/office/drawing/2014/main" id="{BD13A017-B9A9-9490-E2A5-6A5E96CCDE8A}"/>
            </a:ext>
          </a:extLst>
        </xdr:cNvPr>
        <xdr:cNvSpPr/>
      </xdr:nvSpPr>
      <xdr:spPr>
        <a:xfrm>
          <a:off x="1405270" y="499654"/>
          <a:ext cx="12653630" cy="6000206"/>
        </a:xfrm>
        <a:prstGeom prst="roundRect">
          <a:avLst>
            <a:gd name="adj" fmla="val 1901"/>
          </a:avLst>
        </a:prstGeom>
        <a:solidFill>
          <a:srgbClr val="FFC00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113202</xdr:colOff>
      <xdr:row>3</xdr:row>
      <xdr:rowOff>167640</xdr:rowOff>
    </xdr:from>
    <xdr:to>
      <xdr:col>15</xdr:col>
      <xdr:colOff>456102</xdr:colOff>
      <xdr:row>8</xdr:row>
      <xdr:rowOff>152400</xdr:rowOff>
    </xdr:to>
    <xdr:sp macro="" textlink="">
      <xdr:nvSpPr>
        <xdr:cNvPr id="4" name="Rectangle: Rounded Corners 3">
          <a:extLst>
            <a:ext uri="{FF2B5EF4-FFF2-40B4-BE49-F238E27FC236}">
              <a16:creationId xmlns:a16="http://schemas.microsoft.com/office/drawing/2014/main" id="{90DDC7A2-5B5F-0E1B-9A36-8748534993E4}"/>
            </a:ext>
          </a:extLst>
        </xdr:cNvPr>
        <xdr:cNvSpPr/>
      </xdr:nvSpPr>
      <xdr:spPr>
        <a:xfrm>
          <a:off x="7428402" y="537754"/>
          <a:ext cx="2171700" cy="910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341802</xdr:colOff>
      <xdr:row>3</xdr:row>
      <xdr:rowOff>167640</xdr:rowOff>
    </xdr:from>
    <xdr:to>
      <xdr:col>12</xdr:col>
      <xdr:colOff>75102</xdr:colOff>
      <xdr:row>8</xdr:row>
      <xdr:rowOff>152400</xdr:rowOff>
    </xdr:to>
    <xdr:sp macro="" textlink="">
      <xdr:nvSpPr>
        <xdr:cNvPr id="5" name="Rectangle: Rounded Corners 4">
          <a:extLst>
            <a:ext uri="{FF2B5EF4-FFF2-40B4-BE49-F238E27FC236}">
              <a16:creationId xmlns:a16="http://schemas.microsoft.com/office/drawing/2014/main" id="{90AD256E-AA41-58D6-42C8-C0CCE831DDBE}"/>
            </a:ext>
          </a:extLst>
        </xdr:cNvPr>
        <xdr:cNvSpPr/>
      </xdr:nvSpPr>
      <xdr:spPr>
        <a:xfrm>
          <a:off x="5218602" y="537754"/>
          <a:ext cx="2171700" cy="910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1">
            <a:solidFill>
              <a:srgbClr val="7F137A"/>
            </a:solidFill>
          </a:endParaRPr>
        </a:p>
      </xdr:txBody>
    </xdr:sp>
    <xdr:clientData/>
  </xdr:twoCellAnchor>
  <xdr:twoCellAnchor>
    <xdr:from>
      <xdr:col>15</xdr:col>
      <xdr:colOff>501822</xdr:colOff>
      <xdr:row>3</xdr:row>
      <xdr:rowOff>160020</xdr:rowOff>
    </xdr:from>
    <xdr:to>
      <xdr:col>19</xdr:col>
      <xdr:colOff>235122</xdr:colOff>
      <xdr:row>8</xdr:row>
      <xdr:rowOff>144780</xdr:rowOff>
    </xdr:to>
    <xdr:sp macro="" textlink="">
      <xdr:nvSpPr>
        <xdr:cNvPr id="6" name="Rectangle: Rounded Corners 5">
          <a:extLst>
            <a:ext uri="{FF2B5EF4-FFF2-40B4-BE49-F238E27FC236}">
              <a16:creationId xmlns:a16="http://schemas.microsoft.com/office/drawing/2014/main" id="{270D8003-3D50-EA82-DEA3-84B2A622E318}"/>
            </a:ext>
          </a:extLst>
        </xdr:cNvPr>
        <xdr:cNvSpPr/>
      </xdr:nvSpPr>
      <xdr:spPr>
        <a:xfrm>
          <a:off x="9645822" y="530134"/>
          <a:ext cx="2171700" cy="910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280842</xdr:colOff>
      <xdr:row>3</xdr:row>
      <xdr:rowOff>164374</xdr:rowOff>
    </xdr:from>
    <xdr:to>
      <xdr:col>23</xdr:col>
      <xdr:colOff>14142</xdr:colOff>
      <xdr:row>8</xdr:row>
      <xdr:rowOff>149134</xdr:rowOff>
    </xdr:to>
    <xdr:sp macro="" textlink="">
      <xdr:nvSpPr>
        <xdr:cNvPr id="7" name="Rectangle: Rounded Corners 6">
          <a:extLst>
            <a:ext uri="{FF2B5EF4-FFF2-40B4-BE49-F238E27FC236}">
              <a16:creationId xmlns:a16="http://schemas.microsoft.com/office/drawing/2014/main" id="{08072A2A-8B91-3E7F-A028-F3AD3DB321E7}"/>
            </a:ext>
          </a:extLst>
        </xdr:cNvPr>
        <xdr:cNvSpPr/>
      </xdr:nvSpPr>
      <xdr:spPr>
        <a:xfrm>
          <a:off x="11863242" y="534488"/>
          <a:ext cx="2171700" cy="910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120822</xdr:colOff>
      <xdr:row>6</xdr:row>
      <xdr:rowOff>7621</xdr:rowOff>
    </xdr:from>
    <xdr:to>
      <xdr:col>12</xdr:col>
      <xdr:colOff>120822</xdr:colOff>
      <xdr:row>7</xdr:row>
      <xdr:rowOff>175260</xdr:rowOff>
    </xdr:to>
    <xdr:sp macro="" textlink="KPI!$E$2">
      <xdr:nvSpPr>
        <xdr:cNvPr id="13" name="TextBox 12">
          <a:extLst>
            <a:ext uri="{FF2B5EF4-FFF2-40B4-BE49-F238E27FC236}">
              <a16:creationId xmlns:a16="http://schemas.microsoft.com/office/drawing/2014/main" id="{BBBDA834-7522-4C4C-85FC-E2F9D73EDC52}"/>
            </a:ext>
          </a:extLst>
        </xdr:cNvPr>
        <xdr:cNvSpPr txBox="1"/>
      </xdr:nvSpPr>
      <xdr:spPr>
        <a:xfrm>
          <a:off x="5607222" y="932907"/>
          <a:ext cx="1828800" cy="35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15CDE4-0FF2-44CF-9579-4B1C8664E0AD}" type="TxLink">
            <a:rPr lang="en-US" sz="1600" b="1" i="0" u="none" strike="noStrike">
              <a:solidFill>
                <a:srgbClr val="000000"/>
              </a:solidFill>
              <a:latin typeface="Calibri"/>
              <a:ea typeface="Calibri"/>
              <a:cs typeface="Calibri"/>
            </a:rPr>
            <a:pPr algn="ctr"/>
            <a:t> ₹ 16,805,672.00 </a:t>
          </a:fld>
          <a:endParaRPr lang="en-US" sz="1600" b="1"/>
        </a:p>
      </xdr:txBody>
    </xdr:sp>
    <xdr:clientData/>
  </xdr:twoCellAnchor>
  <xdr:twoCellAnchor>
    <xdr:from>
      <xdr:col>9</xdr:col>
      <xdr:colOff>273222</xdr:colOff>
      <xdr:row>4</xdr:row>
      <xdr:rowOff>38100</xdr:rowOff>
    </xdr:from>
    <xdr:to>
      <xdr:col>12</xdr:col>
      <xdr:colOff>97962</xdr:colOff>
      <xdr:row>6</xdr:row>
      <xdr:rowOff>45720</xdr:rowOff>
    </xdr:to>
    <xdr:sp macro="" textlink="">
      <xdr:nvSpPr>
        <xdr:cNvPr id="14" name="TextBox 13">
          <a:extLst>
            <a:ext uri="{FF2B5EF4-FFF2-40B4-BE49-F238E27FC236}">
              <a16:creationId xmlns:a16="http://schemas.microsoft.com/office/drawing/2014/main" id="{6B4D3FEB-74F6-5499-4AEB-FD7A64C0AF3A}"/>
            </a:ext>
          </a:extLst>
        </xdr:cNvPr>
        <xdr:cNvSpPr txBox="1"/>
      </xdr:nvSpPr>
      <xdr:spPr>
        <a:xfrm>
          <a:off x="5759622" y="593271"/>
          <a:ext cx="1653540" cy="37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F137A"/>
              </a:solidFill>
            </a:rPr>
            <a:t>TOTAL SALES</a:t>
          </a:r>
        </a:p>
      </xdr:txBody>
    </xdr:sp>
    <xdr:clientData/>
  </xdr:twoCellAnchor>
  <xdr:twoCellAnchor editAs="oneCell">
    <xdr:from>
      <xdr:col>8</xdr:col>
      <xdr:colOff>402762</xdr:colOff>
      <xdr:row>4</xdr:row>
      <xdr:rowOff>167640</xdr:rowOff>
    </xdr:from>
    <xdr:to>
      <xdr:col>9</xdr:col>
      <xdr:colOff>257982</xdr:colOff>
      <xdr:row>7</xdr:row>
      <xdr:rowOff>83821</xdr:rowOff>
    </xdr:to>
    <xdr:pic>
      <xdr:nvPicPr>
        <xdr:cNvPr id="18" name="Graphic 17" descr="Money with solid fill">
          <a:extLst>
            <a:ext uri="{FF2B5EF4-FFF2-40B4-BE49-F238E27FC236}">
              <a16:creationId xmlns:a16="http://schemas.microsoft.com/office/drawing/2014/main" id="{45789E78-4C2F-690A-C373-6A761055F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79562" y="722811"/>
          <a:ext cx="464820" cy="471352"/>
        </a:xfrm>
        <a:prstGeom prst="rect">
          <a:avLst/>
        </a:prstGeom>
      </xdr:spPr>
    </xdr:pic>
    <xdr:clientData/>
  </xdr:twoCellAnchor>
  <xdr:twoCellAnchor>
    <xdr:from>
      <xdr:col>12</xdr:col>
      <xdr:colOff>425622</xdr:colOff>
      <xdr:row>6</xdr:row>
      <xdr:rowOff>7620</xdr:rowOff>
    </xdr:from>
    <xdr:to>
      <xdr:col>15</xdr:col>
      <xdr:colOff>505521</xdr:colOff>
      <xdr:row>8</xdr:row>
      <xdr:rowOff>48753</xdr:rowOff>
    </xdr:to>
    <xdr:sp macro="" textlink="KPI!$E$13">
      <xdr:nvSpPr>
        <xdr:cNvPr id="19" name="TextBox 18">
          <a:extLst>
            <a:ext uri="{FF2B5EF4-FFF2-40B4-BE49-F238E27FC236}">
              <a16:creationId xmlns:a16="http://schemas.microsoft.com/office/drawing/2014/main" id="{247E788B-F021-4F0F-B6F9-3056C4464C01}"/>
            </a:ext>
          </a:extLst>
        </xdr:cNvPr>
        <xdr:cNvSpPr txBox="1"/>
      </xdr:nvSpPr>
      <xdr:spPr>
        <a:xfrm>
          <a:off x="7740822" y="932906"/>
          <a:ext cx="1908699" cy="41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498D18-848F-4222-8EB0-66332F5E03F9}" type="TxLink">
            <a:rPr lang="en-US" sz="1600" b="1" i="0" u="none" strike="noStrike">
              <a:solidFill>
                <a:srgbClr val="000000"/>
              </a:solidFill>
              <a:latin typeface="Calibri"/>
              <a:ea typeface="Calibri"/>
              <a:cs typeface="Calibri"/>
            </a:rPr>
            <a:pPr algn="ctr"/>
            <a:t> ₹ 7,055,049.00 </a:t>
          </a:fld>
          <a:endParaRPr lang="en-US" sz="1600" b="1"/>
        </a:p>
      </xdr:txBody>
    </xdr:sp>
    <xdr:clientData/>
  </xdr:twoCellAnchor>
  <xdr:twoCellAnchor>
    <xdr:from>
      <xdr:col>12</xdr:col>
      <xdr:colOff>539922</xdr:colOff>
      <xdr:row>4</xdr:row>
      <xdr:rowOff>45720</xdr:rowOff>
    </xdr:from>
    <xdr:to>
      <xdr:col>15</xdr:col>
      <xdr:colOff>410382</xdr:colOff>
      <xdr:row>6</xdr:row>
      <xdr:rowOff>45720</xdr:rowOff>
    </xdr:to>
    <xdr:sp macro="" textlink="">
      <xdr:nvSpPr>
        <xdr:cNvPr id="20" name="TextBox 19">
          <a:extLst>
            <a:ext uri="{FF2B5EF4-FFF2-40B4-BE49-F238E27FC236}">
              <a16:creationId xmlns:a16="http://schemas.microsoft.com/office/drawing/2014/main" id="{FC172E03-AC2F-0E31-E537-E1FF70B5A097}"/>
            </a:ext>
          </a:extLst>
        </xdr:cNvPr>
        <xdr:cNvSpPr txBox="1"/>
      </xdr:nvSpPr>
      <xdr:spPr>
        <a:xfrm>
          <a:off x="7855122" y="600891"/>
          <a:ext cx="1699260"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F137A"/>
              </a:solidFill>
            </a:rPr>
            <a:t>TOTAL</a:t>
          </a:r>
          <a:r>
            <a:rPr lang="en-US" sz="2000" b="1" baseline="0">
              <a:solidFill>
                <a:srgbClr val="7F137A"/>
              </a:solidFill>
            </a:rPr>
            <a:t> PROFIT</a:t>
          </a:r>
          <a:endParaRPr lang="en-US" sz="2000" b="1">
            <a:solidFill>
              <a:srgbClr val="7F137A"/>
            </a:solidFill>
          </a:endParaRPr>
        </a:p>
      </xdr:txBody>
    </xdr:sp>
    <xdr:clientData/>
  </xdr:twoCellAnchor>
  <xdr:twoCellAnchor editAs="oneCell">
    <xdr:from>
      <xdr:col>12</xdr:col>
      <xdr:colOff>113202</xdr:colOff>
      <xdr:row>4</xdr:row>
      <xdr:rowOff>175260</xdr:rowOff>
    </xdr:from>
    <xdr:to>
      <xdr:col>13</xdr:col>
      <xdr:colOff>44622</xdr:colOff>
      <xdr:row>7</xdr:row>
      <xdr:rowOff>167641</xdr:rowOff>
    </xdr:to>
    <xdr:pic>
      <xdr:nvPicPr>
        <xdr:cNvPr id="22" name="Graphic 21" descr="Bar graph with upward trend with solid fill">
          <a:extLst>
            <a:ext uri="{FF2B5EF4-FFF2-40B4-BE49-F238E27FC236}">
              <a16:creationId xmlns:a16="http://schemas.microsoft.com/office/drawing/2014/main" id="{3472DF83-4FD1-28A4-98F7-90EFA5DEF7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28402" y="730431"/>
          <a:ext cx="541020" cy="547552"/>
        </a:xfrm>
        <a:prstGeom prst="rect">
          <a:avLst/>
        </a:prstGeom>
      </xdr:spPr>
    </xdr:pic>
    <xdr:clientData/>
  </xdr:twoCellAnchor>
  <xdr:twoCellAnchor>
    <xdr:from>
      <xdr:col>16</xdr:col>
      <xdr:colOff>311322</xdr:colOff>
      <xdr:row>4</xdr:row>
      <xdr:rowOff>38100</xdr:rowOff>
    </xdr:from>
    <xdr:to>
      <xdr:col>19</xdr:col>
      <xdr:colOff>280842</xdr:colOff>
      <xdr:row>6</xdr:row>
      <xdr:rowOff>76200</xdr:rowOff>
    </xdr:to>
    <xdr:sp macro="" textlink="">
      <xdr:nvSpPr>
        <xdr:cNvPr id="24" name="TextBox 23">
          <a:extLst>
            <a:ext uri="{FF2B5EF4-FFF2-40B4-BE49-F238E27FC236}">
              <a16:creationId xmlns:a16="http://schemas.microsoft.com/office/drawing/2014/main" id="{E580C5A4-6BAC-150D-25B6-36A21D9A121A}"/>
            </a:ext>
          </a:extLst>
        </xdr:cNvPr>
        <xdr:cNvSpPr txBox="1"/>
      </xdr:nvSpPr>
      <xdr:spPr>
        <a:xfrm>
          <a:off x="10064922" y="593271"/>
          <a:ext cx="1798320"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F137A"/>
              </a:solidFill>
            </a:rPr>
            <a:t>TOTAL</a:t>
          </a:r>
          <a:r>
            <a:rPr lang="en-US" sz="2000"/>
            <a:t> </a:t>
          </a:r>
          <a:r>
            <a:rPr lang="en-US" sz="2000" b="1">
              <a:solidFill>
                <a:srgbClr val="7F137A"/>
              </a:solidFill>
            </a:rPr>
            <a:t>ORDER</a:t>
          </a:r>
        </a:p>
      </xdr:txBody>
    </xdr:sp>
    <xdr:clientData/>
  </xdr:twoCellAnchor>
  <xdr:twoCellAnchor editAs="oneCell">
    <xdr:from>
      <xdr:col>15</xdr:col>
      <xdr:colOff>532302</xdr:colOff>
      <xdr:row>5</xdr:row>
      <xdr:rowOff>15240</xdr:rowOff>
    </xdr:from>
    <xdr:to>
      <xdr:col>16</xdr:col>
      <xdr:colOff>387102</xdr:colOff>
      <xdr:row>7</xdr:row>
      <xdr:rowOff>113880</xdr:rowOff>
    </xdr:to>
    <xdr:pic>
      <xdr:nvPicPr>
        <xdr:cNvPr id="26" name="Graphic 25" descr="Shopping cart with solid fill">
          <a:extLst>
            <a:ext uri="{FF2B5EF4-FFF2-40B4-BE49-F238E27FC236}">
              <a16:creationId xmlns:a16="http://schemas.microsoft.com/office/drawing/2014/main" id="{2CE771A1-DB1A-4AF0-4206-7E4CF9893B9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76302" y="755469"/>
          <a:ext cx="464400" cy="468754"/>
        </a:xfrm>
        <a:prstGeom prst="rect">
          <a:avLst/>
        </a:prstGeom>
      </xdr:spPr>
    </xdr:pic>
    <xdr:clientData/>
  </xdr:twoCellAnchor>
  <xdr:twoCellAnchor>
    <xdr:from>
      <xdr:col>20</xdr:col>
      <xdr:colOff>76190</xdr:colOff>
      <xdr:row>5</xdr:row>
      <xdr:rowOff>156753</xdr:rowOff>
    </xdr:from>
    <xdr:to>
      <xdr:col>22</xdr:col>
      <xdr:colOff>491369</xdr:colOff>
      <xdr:row>8</xdr:row>
      <xdr:rowOff>12829</xdr:rowOff>
    </xdr:to>
    <xdr:sp macro="" textlink="KPI!$E$15">
      <xdr:nvSpPr>
        <xdr:cNvPr id="27" name="TextBox 26">
          <a:extLst>
            <a:ext uri="{FF2B5EF4-FFF2-40B4-BE49-F238E27FC236}">
              <a16:creationId xmlns:a16="http://schemas.microsoft.com/office/drawing/2014/main" id="{5C2F5954-4B2B-4CC3-9530-ADF4672EE8F8}"/>
            </a:ext>
          </a:extLst>
        </xdr:cNvPr>
        <xdr:cNvSpPr txBox="1"/>
      </xdr:nvSpPr>
      <xdr:spPr>
        <a:xfrm>
          <a:off x="12268190" y="896982"/>
          <a:ext cx="1634379" cy="41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FFC14-F4FF-46AA-AC73-9E754BA626D2}" type="TxLink">
            <a:rPr lang="en-US" sz="1600" b="1" i="0" u="none" strike="noStrike">
              <a:solidFill>
                <a:srgbClr val="000000"/>
              </a:solidFill>
              <a:latin typeface="Calibri"/>
              <a:ea typeface="Calibri"/>
              <a:cs typeface="Calibri"/>
            </a:rPr>
            <a:pPr algn="ctr"/>
            <a:t>41.98%</a:t>
          </a:fld>
          <a:endParaRPr lang="en-US" sz="1600" b="1"/>
        </a:p>
      </xdr:txBody>
    </xdr:sp>
    <xdr:clientData/>
  </xdr:twoCellAnchor>
  <xdr:twoCellAnchor>
    <xdr:from>
      <xdr:col>19</xdr:col>
      <xdr:colOff>578022</xdr:colOff>
      <xdr:row>4</xdr:row>
      <xdr:rowOff>39188</xdr:rowOff>
    </xdr:from>
    <xdr:to>
      <xdr:col>23</xdr:col>
      <xdr:colOff>113202</xdr:colOff>
      <xdr:row>6</xdr:row>
      <xdr:rowOff>46808</xdr:rowOff>
    </xdr:to>
    <xdr:sp macro="" textlink="">
      <xdr:nvSpPr>
        <xdr:cNvPr id="28" name="TextBox 27">
          <a:extLst>
            <a:ext uri="{FF2B5EF4-FFF2-40B4-BE49-F238E27FC236}">
              <a16:creationId xmlns:a16="http://schemas.microsoft.com/office/drawing/2014/main" id="{CDB2F396-D2F4-7699-3486-D1B4091C8A60}"/>
            </a:ext>
          </a:extLst>
        </xdr:cNvPr>
        <xdr:cNvSpPr txBox="1"/>
      </xdr:nvSpPr>
      <xdr:spPr>
        <a:xfrm>
          <a:off x="12160422" y="594359"/>
          <a:ext cx="1973580" cy="37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F137A"/>
              </a:solidFill>
            </a:rPr>
            <a:t>PROFIT</a:t>
          </a:r>
          <a:r>
            <a:rPr lang="en-US" sz="2000" b="1" baseline="0">
              <a:solidFill>
                <a:srgbClr val="7F137A"/>
              </a:solidFill>
            </a:rPr>
            <a:t> MARGIN</a:t>
          </a:r>
          <a:endParaRPr lang="en-US" sz="2000" b="1">
            <a:solidFill>
              <a:srgbClr val="7F137A"/>
            </a:solidFill>
          </a:endParaRPr>
        </a:p>
      </xdr:txBody>
    </xdr:sp>
    <xdr:clientData/>
  </xdr:twoCellAnchor>
  <xdr:twoCellAnchor editAs="oneCell">
    <xdr:from>
      <xdr:col>19</xdr:col>
      <xdr:colOff>273222</xdr:colOff>
      <xdr:row>5</xdr:row>
      <xdr:rowOff>16328</xdr:rowOff>
    </xdr:from>
    <xdr:to>
      <xdr:col>20</xdr:col>
      <xdr:colOff>128022</xdr:colOff>
      <xdr:row>7</xdr:row>
      <xdr:rowOff>114968</xdr:rowOff>
    </xdr:to>
    <xdr:pic>
      <xdr:nvPicPr>
        <xdr:cNvPr id="34" name="Graphic 33" descr="Statistics with solid fill">
          <a:extLst>
            <a:ext uri="{FF2B5EF4-FFF2-40B4-BE49-F238E27FC236}">
              <a16:creationId xmlns:a16="http://schemas.microsoft.com/office/drawing/2014/main" id="{CD348A32-62D2-71BC-356D-FC79B9110F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55622" y="756557"/>
          <a:ext cx="464400" cy="468754"/>
        </a:xfrm>
        <a:prstGeom prst="rect">
          <a:avLst/>
        </a:prstGeom>
      </xdr:spPr>
    </xdr:pic>
    <xdr:clientData/>
  </xdr:twoCellAnchor>
  <xdr:twoCellAnchor>
    <xdr:from>
      <xdr:col>18</xdr:col>
      <xdr:colOff>119743</xdr:colOff>
      <xdr:row>9</xdr:row>
      <xdr:rowOff>0</xdr:rowOff>
    </xdr:from>
    <xdr:to>
      <xdr:col>23</xdr:col>
      <xdr:colOff>10888</xdr:colOff>
      <xdr:row>21</xdr:row>
      <xdr:rowOff>119741</xdr:rowOff>
    </xdr:to>
    <xdr:sp macro="" textlink="">
      <xdr:nvSpPr>
        <xdr:cNvPr id="44" name="Rectangle: Rounded Corners 43">
          <a:extLst>
            <a:ext uri="{FF2B5EF4-FFF2-40B4-BE49-F238E27FC236}">
              <a16:creationId xmlns:a16="http://schemas.microsoft.com/office/drawing/2014/main" id="{4A9F48DB-BB4E-F053-A277-A96BC218A966}"/>
            </a:ext>
          </a:extLst>
        </xdr:cNvPr>
        <xdr:cNvSpPr/>
      </xdr:nvSpPr>
      <xdr:spPr>
        <a:xfrm>
          <a:off x="11092543" y="1480457"/>
          <a:ext cx="2939145" cy="2340427"/>
        </a:xfrm>
        <a:prstGeom prst="roundRect">
          <a:avLst>
            <a:gd name="adj" fmla="val 44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232956</xdr:colOff>
      <xdr:row>3</xdr:row>
      <xdr:rowOff>174171</xdr:rowOff>
    </xdr:from>
    <xdr:to>
      <xdr:col>8</xdr:col>
      <xdr:colOff>293914</xdr:colOff>
      <xdr:row>10</xdr:row>
      <xdr:rowOff>163286</xdr:rowOff>
    </xdr:to>
    <mc:AlternateContent xmlns:mc="http://schemas.openxmlformats.org/markup-compatibility/2006" xmlns:tsle="http://schemas.microsoft.com/office/drawing/2012/timeslicer">
      <mc:Choice Requires="tsle">
        <xdr:graphicFrame macro="">
          <xdr:nvGraphicFramePr>
            <xdr:cNvPr id="37" name="Order_Date 1">
              <a:extLst>
                <a:ext uri="{FF2B5EF4-FFF2-40B4-BE49-F238E27FC236}">
                  <a16:creationId xmlns:a16="http://schemas.microsoft.com/office/drawing/2014/main" id="{B02B2753-B0DD-46AF-902F-AADBF66DC89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52156" y="544285"/>
              <a:ext cx="3098072" cy="12845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30481</xdr:colOff>
      <xdr:row>11</xdr:row>
      <xdr:rowOff>129540</xdr:rowOff>
    </xdr:from>
    <xdr:to>
      <xdr:col>2</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496BA098-FF1D-4430-B2CF-B1DC08A3F4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1" y="1939290"/>
              <a:ext cx="1303019" cy="2518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174172</xdr:colOff>
      <xdr:row>8</xdr:row>
      <xdr:rowOff>174174</xdr:rowOff>
    </xdr:from>
    <xdr:to>
      <xdr:col>22</xdr:col>
      <xdr:colOff>555174</xdr:colOff>
      <xdr:row>21</xdr:row>
      <xdr:rowOff>141514</xdr:rowOff>
    </xdr:to>
    <xdr:graphicFrame macro="">
      <xdr:nvGraphicFramePr>
        <xdr:cNvPr id="43" name="Chart 42">
          <a:extLst>
            <a:ext uri="{FF2B5EF4-FFF2-40B4-BE49-F238E27FC236}">
              <a16:creationId xmlns:a16="http://schemas.microsoft.com/office/drawing/2014/main" id="{22BE7F38-BE22-40C0-9D54-B42DB608A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87086</xdr:colOff>
      <xdr:row>8</xdr:row>
      <xdr:rowOff>185055</xdr:rowOff>
    </xdr:from>
    <xdr:to>
      <xdr:col>18</xdr:col>
      <xdr:colOff>87086</xdr:colOff>
      <xdr:row>21</xdr:row>
      <xdr:rowOff>130629</xdr:rowOff>
    </xdr:to>
    <xdr:sp macro="" textlink="">
      <xdr:nvSpPr>
        <xdr:cNvPr id="40" name="Rectangle: Rounded Corners 39">
          <a:extLst>
            <a:ext uri="{FF2B5EF4-FFF2-40B4-BE49-F238E27FC236}">
              <a16:creationId xmlns:a16="http://schemas.microsoft.com/office/drawing/2014/main" id="{44FC98CA-2B28-86CC-C74A-666941EA6502}"/>
            </a:ext>
          </a:extLst>
        </xdr:cNvPr>
        <xdr:cNvSpPr/>
      </xdr:nvSpPr>
      <xdr:spPr>
        <a:xfrm>
          <a:off x="5573486" y="1480455"/>
          <a:ext cx="5486400" cy="2351317"/>
        </a:xfrm>
        <a:prstGeom prst="roundRect">
          <a:avLst>
            <a:gd name="adj" fmla="val 369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102314</xdr:colOff>
      <xdr:row>9</xdr:row>
      <xdr:rowOff>16312</xdr:rowOff>
    </xdr:from>
    <xdr:to>
      <xdr:col>18</xdr:col>
      <xdr:colOff>76195</xdr:colOff>
      <xdr:row>21</xdr:row>
      <xdr:rowOff>119741</xdr:rowOff>
    </xdr:to>
    <xdr:graphicFrame macro="">
      <xdr:nvGraphicFramePr>
        <xdr:cNvPr id="39" name="Chart 38">
          <a:extLst>
            <a:ext uri="{FF2B5EF4-FFF2-40B4-BE49-F238E27FC236}">
              <a16:creationId xmlns:a16="http://schemas.microsoft.com/office/drawing/2014/main" id="{277049AB-8DB4-4BB4-BF40-AE7CFDDA0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230882</xdr:colOff>
      <xdr:row>11</xdr:row>
      <xdr:rowOff>35694</xdr:rowOff>
    </xdr:from>
    <xdr:to>
      <xdr:col>9</xdr:col>
      <xdr:colOff>54429</xdr:colOff>
      <xdr:row>35</xdr:row>
      <xdr:rowOff>163285</xdr:rowOff>
    </xdr:to>
    <xdr:sp macro="" textlink="">
      <xdr:nvSpPr>
        <xdr:cNvPr id="46" name="Rectangle: Rounded Corners 45">
          <a:extLst>
            <a:ext uri="{FF2B5EF4-FFF2-40B4-BE49-F238E27FC236}">
              <a16:creationId xmlns:a16="http://schemas.microsoft.com/office/drawing/2014/main" id="{FF18A8B7-18C6-AE52-5978-34AF3DAB9E26}"/>
            </a:ext>
          </a:extLst>
        </xdr:cNvPr>
        <xdr:cNvSpPr/>
      </xdr:nvSpPr>
      <xdr:spPr>
        <a:xfrm>
          <a:off x="1450082" y="1886265"/>
          <a:ext cx="4090747" cy="4568963"/>
        </a:xfrm>
        <a:prstGeom prst="roundRect">
          <a:avLst>
            <a:gd name="adj" fmla="val 288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228118</xdr:colOff>
      <xdr:row>11</xdr:row>
      <xdr:rowOff>6833</xdr:rowOff>
    </xdr:from>
    <xdr:to>
      <xdr:col>9</xdr:col>
      <xdr:colOff>65314</xdr:colOff>
      <xdr:row>35</xdr:row>
      <xdr:rowOff>174170</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B9F175FB-C433-47AF-8254-C52103BE0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47318" y="2018513"/>
              <a:ext cx="4104396" cy="45564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463722</xdr:colOff>
      <xdr:row>5</xdr:row>
      <xdr:rowOff>163830</xdr:rowOff>
    </xdr:from>
    <xdr:to>
      <xdr:col>19</xdr:col>
      <xdr:colOff>47951</xdr:colOff>
      <xdr:row>8</xdr:row>
      <xdr:rowOff>27798</xdr:rowOff>
    </xdr:to>
    <xdr:sp macro="" textlink="KPI!$F$2">
      <xdr:nvSpPr>
        <xdr:cNvPr id="8" name="TextBox 7">
          <a:extLst>
            <a:ext uri="{FF2B5EF4-FFF2-40B4-BE49-F238E27FC236}">
              <a16:creationId xmlns:a16="http://schemas.microsoft.com/office/drawing/2014/main" id="{5E50B25F-FFE3-4E54-9F47-7D257F5FFE87}"/>
            </a:ext>
          </a:extLst>
        </xdr:cNvPr>
        <xdr:cNvSpPr txBox="1"/>
      </xdr:nvSpPr>
      <xdr:spPr>
        <a:xfrm>
          <a:off x="10217322" y="904059"/>
          <a:ext cx="1413029" cy="419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CCE969-DFAE-4338-A43A-FEFC01143BA1}" type="TxLink">
            <a:rPr lang="en-US" sz="1600" b="1" i="0" u="none" strike="noStrike">
              <a:solidFill>
                <a:srgbClr val="000000"/>
              </a:solidFill>
              <a:latin typeface="Calibri"/>
              <a:ea typeface="Calibri"/>
              <a:cs typeface="Calibri"/>
            </a:rPr>
            <a:pPr algn="ctr"/>
            <a:t>33015</a:t>
          </a:fld>
          <a:endParaRPr lang="en-US" sz="1600" b="1"/>
        </a:p>
      </xdr:txBody>
    </xdr:sp>
    <xdr:clientData/>
  </xdr:twoCellAnchor>
  <xdr:twoCellAnchor>
    <xdr:from>
      <xdr:col>9</xdr:col>
      <xdr:colOff>97971</xdr:colOff>
      <xdr:row>21</xdr:row>
      <xdr:rowOff>163284</xdr:rowOff>
    </xdr:from>
    <xdr:to>
      <xdr:col>23</xdr:col>
      <xdr:colOff>0</xdr:colOff>
      <xdr:row>35</xdr:row>
      <xdr:rowOff>174171</xdr:rowOff>
    </xdr:to>
    <xdr:sp macro="" textlink="">
      <xdr:nvSpPr>
        <xdr:cNvPr id="53" name="Rectangle: Rounded Corners 52">
          <a:extLst>
            <a:ext uri="{FF2B5EF4-FFF2-40B4-BE49-F238E27FC236}">
              <a16:creationId xmlns:a16="http://schemas.microsoft.com/office/drawing/2014/main" id="{7F748E72-2376-F2BD-523F-C84531D1F050}"/>
            </a:ext>
          </a:extLst>
        </xdr:cNvPr>
        <xdr:cNvSpPr/>
      </xdr:nvSpPr>
      <xdr:spPr>
        <a:xfrm>
          <a:off x="5584371" y="3864427"/>
          <a:ext cx="8436429" cy="2601687"/>
        </a:xfrm>
        <a:prstGeom prst="roundRect">
          <a:avLst>
            <a:gd name="adj" fmla="val 362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121919</xdr:colOff>
      <xdr:row>22</xdr:row>
      <xdr:rowOff>938</xdr:rowOff>
    </xdr:from>
    <xdr:to>
      <xdr:col>23</xdr:col>
      <xdr:colOff>22860</xdr:colOff>
      <xdr:row>36</xdr:row>
      <xdr:rowOff>30480</xdr:rowOff>
    </xdr:to>
    <xdr:graphicFrame macro="">
      <xdr:nvGraphicFramePr>
        <xdr:cNvPr id="9" name="Chart 8">
          <a:extLst>
            <a:ext uri="{FF2B5EF4-FFF2-40B4-BE49-F238E27FC236}">
              <a16:creationId xmlns:a16="http://schemas.microsoft.com/office/drawing/2014/main" id="{30C82142-91D8-4ABC-9EEC-F936C433D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43543</xdr:colOff>
      <xdr:row>26</xdr:row>
      <xdr:rowOff>97971</xdr:rowOff>
    </xdr:from>
    <xdr:to>
      <xdr:col>2</xdr:col>
      <xdr:colOff>130629</xdr:colOff>
      <xdr:row>30</xdr:row>
      <xdr:rowOff>87086</xdr:rowOff>
    </xdr:to>
    <xdr:sp macro="" textlink="">
      <xdr:nvSpPr>
        <xdr:cNvPr id="56" name="Rectangle: Rounded Corners 55">
          <a:extLst>
            <a:ext uri="{FF2B5EF4-FFF2-40B4-BE49-F238E27FC236}">
              <a16:creationId xmlns:a16="http://schemas.microsoft.com/office/drawing/2014/main" id="{E9E0116B-E16E-B530-000F-97952D1C0668}"/>
            </a:ext>
          </a:extLst>
        </xdr:cNvPr>
        <xdr:cNvSpPr/>
      </xdr:nvSpPr>
      <xdr:spPr>
        <a:xfrm>
          <a:off x="43543" y="4724400"/>
          <a:ext cx="1306286" cy="729343"/>
        </a:xfrm>
        <a:prstGeom prst="roundRect">
          <a:avLst/>
        </a:prstGeom>
        <a:effectLst>
          <a:outerShdw blurRad="50800" dist="38100" dir="5400000" algn="t" rotWithShape="0">
            <a:prstClr val="black">
              <a:alpha val="40000"/>
            </a:prstClr>
          </a:outerShdw>
        </a:effectLst>
        <a:scene3d>
          <a:camera prst="orthographicFront"/>
          <a:lightRig rig="threePt" dir="t"/>
        </a:scene3d>
        <a:sp3d>
          <a:bevelT prst="angle"/>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43542</xdr:colOff>
      <xdr:row>30</xdr:row>
      <xdr:rowOff>174172</xdr:rowOff>
    </xdr:from>
    <xdr:to>
      <xdr:col>2</xdr:col>
      <xdr:colOff>130628</xdr:colOff>
      <xdr:row>34</xdr:row>
      <xdr:rowOff>163286</xdr:rowOff>
    </xdr:to>
    <xdr:sp macro="" textlink="">
      <xdr:nvSpPr>
        <xdr:cNvPr id="58" name="Rectangle: Rounded Corners 57">
          <a:extLst>
            <a:ext uri="{FF2B5EF4-FFF2-40B4-BE49-F238E27FC236}">
              <a16:creationId xmlns:a16="http://schemas.microsoft.com/office/drawing/2014/main" id="{E1447BDC-E19B-8DB4-CEA4-47E24300E11C}"/>
            </a:ext>
          </a:extLst>
        </xdr:cNvPr>
        <xdr:cNvSpPr/>
      </xdr:nvSpPr>
      <xdr:spPr>
        <a:xfrm>
          <a:off x="43542" y="5540829"/>
          <a:ext cx="1306286" cy="729343"/>
        </a:xfrm>
        <a:prstGeom prst="roundRect">
          <a:avLst/>
        </a:prstGeom>
        <a:scene3d>
          <a:camera prst="orthographicFront"/>
          <a:lightRig rig="threePt" dir="t"/>
        </a:scene3d>
        <a:sp3d>
          <a:bevelT prst="angle"/>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43542</xdr:colOff>
      <xdr:row>26</xdr:row>
      <xdr:rowOff>97971</xdr:rowOff>
    </xdr:from>
    <xdr:to>
      <xdr:col>2</xdr:col>
      <xdr:colOff>97971</xdr:colOff>
      <xdr:row>30</xdr:row>
      <xdr:rowOff>43542</xdr:rowOff>
    </xdr:to>
    <xdr:sp macro="" textlink="">
      <xdr:nvSpPr>
        <xdr:cNvPr id="59" name="TextBox 58">
          <a:hlinkClick xmlns:r="http://schemas.openxmlformats.org/officeDocument/2006/relationships" r:id="rId13"/>
          <a:extLst>
            <a:ext uri="{FF2B5EF4-FFF2-40B4-BE49-F238E27FC236}">
              <a16:creationId xmlns:a16="http://schemas.microsoft.com/office/drawing/2014/main" id="{BCC6265B-E1DB-36F0-33F9-A49B2D384E4F}"/>
            </a:ext>
          </a:extLst>
        </xdr:cNvPr>
        <xdr:cNvSpPr txBox="1"/>
      </xdr:nvSpPr>
      <xdr:spPr>
        <a:xfrm>
          <a:off x="43542" y="4724400"/>
          <a:ext cx="1273629" cy="685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Black" panose="020B0A04020102020204" pitchFamily="34" charset="0"/>
            </a:rPr>
            <a:t>DATA</a:t>
          </a:r>
        </a:p>
      </xdr:txBody>
    </xdr:sp>
    <xdr:clientData/>
  </xdr:twoCellAnchor>
  <xdr:twoCellAnchor>
    <xdr:from>
      <xdr:col>0</xdr:col>
      <xdr:colOff>43542</xdr:colOff>
      <xdr:row>30</xdr:row>
      <xdr:rowOff>163284</xdr:rowOff>
    </xdr:from>
    <xdr:to>
      <xdr:col>2</xdr:col>
      <xdr:colOff>130629</xdr:colOff>
      <xdr:row>34</xdr:row>
      <xdr:rowOff>119742</xdr:rowOff>
    </xdr:to>
    <xdr:sp macro="" textlink="">
      <xdr:nvSpPr>
        <xdr:cNvPr id="60" name="TextBox 59">
          <a:hlinkClick xmlns:r="http://schemas.openxmlformats.org/officeDocument/2006/relationships" r:id="rId14"/>
          <a:extLst>
            <a:ext uri="{FF2B5EF4-FFF2-40B4-BE49-F238E27FC236}">
              <a16:creationId xmlns:a16="http://schemas.microsoft.com/office/drawing/2014/main" id="{64CAF26C-F909-9868-2B99-7C96A28FDFDA}"/>
            </a:ext>
          </a:extLst>
        </xdr:cNvPr>
        <xdr:cNvSpPr txBox="1"/>
      </xdr:nvSpPr>
      <xdr:spPr>
        <a:xfrm>
          <a:off x="43542" y="5529941"/>
          <a:ext cx="1306287" cy="69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Arial Black" panose="020B0A04020102020204" pitchFamily="34" charset="0"/>
            </a:rPr>
            <a:t>KPI</a:t>
          </a:r>
        </a:p>
      </xdr:txBody>
    </xdr:sp>
    <xdr:clientData/>
  </xdr:twoCellAnchor>
  <xdr:twoCellAnchor>
    <xdr:from>
      <xdr:col>2</xdr:col>
      <xdr:colOff>174171</xdr:colOff>
      <xdr:row>0</xdr:row>
      <xdr:rowOff>54429</xdr:rowOff>
    </xdr:from>
    <xdr:to>
      <xdr:col>23</xdr:col>
      <xdr:colOff>43542</xdr:colOff>
      <xdr:row>3</xdr:row>
      <xdr:rowOff>43543</xdr:rowOff>
    </xdr:to>
    <xdr:sp macro="" textlink="">
      <xdr:nvSpPr>
        <xdr:cNvPr id="61" name="Rectangle: Rounded Corners 60">
          <a:extLst>
            <a:ext uri="{FF2B5EF4-FFF2-40B4-BE49-F238E27FC236}">
              <a16:creationId xmlns:a16="http://schemas.microsoft.com/office/drawing/2014/main" id="{DF2CE56B-4CA0-AE35-CFB8-A6BDB2CA1F18}"/>
            </a:ext>
          </a:extLst>
        </xdr:cNvPr>
        <xdr:cNvSpPr/>
      </xdr:nvSpPr>
      <xdr:spPr>
        <a:xfrm>
          <a:off x="1393371" y="54429"/>
          <a:ext cx="12670971" cy="544285"/>
        </a:xfrm>
        <a:prstGeom prst="roundRect">
          <a:avLst/>
        </a:prstGeom>
        <a:scene3d>
          <a:camera prst="orthographicFront"/>
          <a:lightRig rig="threePt" dir="t"/>
        </a:scene3d>
        <a:sp3d>
          <a:bevelT w="139700" h="139700" prst="divo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215536</xdr:colOff>
      <xdr:row>0</xdr:row>
      <xdr:rowOff>32656</xdr:rowOff>
    </xdr:from>
    <xdr:to>
      <xdr:col>19</xdr:col>
      <xdr:colOff>302622</xdr:colOff>
      <xdr:row>2</xdr:row>
      <xdr:rowOff>163285</xdr:rowOff>
    </xdr:to>
    <xdr:sp macro="" textlink="">
      <xdr:nvSpPr>
        <xdr:cNvPr id="62" name="TextBox 61">
          <a:extLst>
            <a:ext uri="{FF2B5EF4-FFF2-40B4-BE49-F238E27FC236}">
              <a16:creationId xmlns:a16="http://schemas.microsoft.com/office/drawing/2014/main" id="{14DDEB3D-7C1F-5E32-8091-786B98259442}"/>
            </a:ext>
          </a:extLst>
        </xdr:cNvPr>
        <xdr:cNvSpPr txBox="1"/>
      </xdr:nvSpPr>
      <xdr:spPr>
        <a:xfrm>
          <a:off x="2044336" y="32656"/>
          <a:ext cx="9840686" cy="49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a:sp3d>
        </a:bodyPr>
        <a:lstStyle/>
        <a:p>
          <a:r>
            <a:rPr lang="en-US" sz="3600" b="0" cap="none" spc="0">
              <a:ln>
                <a:solidFill>
                  <a:srgbClr val="FFC000"/>
                </a:solidFill>
              </a:ln>
              <a:solidFill>
                <a:srgbClr val="FFC000"/>
              </a:solidFill>
              <a:effectLst>
                <a:innerShdw blurRad="114300">
                  <a:prstClr val="black"/>
                </a:innerShdw>
              </a:effectLst>
              <a:latin typeface="Arial Black" panose="020B0A04020102020204" pitchFamily="34" charset="0"/>
            </a:rPr>
            <a:t>MEESHO</a:t>
          </a:r>
          <a:r>
            <a:rPr lang="en-US" sz="3600" b="0" cap="none" spc="0" baseline="0">
              <a:ln>
                <a:solidFill>
                  <a:srgbClr val="FFC000"/>
                </a:solidFill>
              </a:ln>
              <a:solidFill>
                <a:srgbClr val="FFC000"/>
              </a:solidFill>
              <a:effectLst>
                <a:innerShdw blurRad="114300">
                  <a:prstClr val="black"/>
                </a:innerShdw>
              </a:effectLst>
              <a:latin typeface="Arial Black" panose="020B0A04020102020204" pitchFamily="34" charset="0"/>
            </a:rPr>
            <a:t> SELLER SALES DASHBOARD</a:t>
          </a:r>
          <a:endParaRPr lang="en-US" sz="3600" b="0" cap="none" spc="0">
            <a:ln>
              <a:solidFill>
                <a:srgbClr val="FFC000"/>
              </a:solidFill>
            </a:ln>
            <a:solidFill>
              <a:srgbClr val="FFC000"/>
            </a:solidFill>
            <a:effectLst>
              <a:innerShdw blurRad="114300">
                <a:prstClr val="black"/>
              </a:innerShdw>
            </a:effectLst>
            <a:latin typeface="Arial Black" panose="020B0A04020102020204" pitchFamily="34" charset="0"/>
          </a:endParaRPr>
        </a:p>
      </xdr:txBody>
    </xdr:sp>
    <xdr:clientData/>
  </xdr:twoCellAnchor>
  <xdr:twoCellAnchor editAs="oneCell">
    <xdr:from>
      <xdr:col>0</xdr:col>
      <xdr:colOff>17585</xdr:colOff>
      <xdr:row>0</xdr:row>
      <xdr:rowOff>35172</xdr:rowOff>
    </xdr:from>
    <xdr:to>
      <xdr:col>2</xdr:col>
      <xdr:colOff>158262</xdr:colOff>
      <xdr:row>11</xdr:row>
      <xdr:rowOff>146540</xdr:rowOff>
    </xdr:to>
    <xdr:pic>
      <xdr:nvPicPr>
        <xdr:cNvPr id="64" name="Picture 63">
          <a:extLst>
            <a:ext uri="{FF2B5EF4-FFF2-40B4-BE49-F238E27FC236}">
              <a16:creationId xmlns:a16="http://schemas.microsoft.com/office/drawing/2014/main" id="{FDB77FF8-7CC0-08ED-27E8-8D93A92CB7E9}"/>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19230" t="18920" r="19231" b="18275"/>
        <a:stretch>
          <a:fillRect/>
        </a:stretch>
      </xdr:blipFill>
      <xdr:spPr>
        <a:xfrm>
          <a:off x="17585" y="35172"/>
          <a:ext cx="1359877" cy="2110153"/>
        </a:xfrm>
        <a:prstGeom prst="rect">
          <a:avLst/>
        </a:prstGeom>
      </xdr:spPr>
    </xdr:pic>
    <xdr:clientData/>
  </xdr:twoCellAnchor>
  <xdr:twoCellAnchor editAs="oneCell">
    <xdr:from>
      <xdr:col>19</xdr:col>
      <xdr:colOff>213360</xdr:colOff>
      <xdr:row>0</xdr:row>
      <xdr:rowOff>0</xdr:rowOff>
    </xdr:from>
    <xdr:to>
      <xdr:col>21</xdr:col>
      <xdr:colOff>388620</xdr:colOff>
      <xdr:row>3</xdr:row>
      <xdr:rowOff>0</xdr:rowOff>
    </xdr:to>
    <xdr:pic>
      <xdr:nvPicPr>
        <xdr:cNvPr id="66" name="Graphic 65" descr="Presentation with bar chart with solid fill">
          <a:extLst>
            <a:ext uri="{FF2B5EF4-FFF2-40B4-BE49-F238E27FC236}">
              <a16:creationId xmlns:a16="http://schemas.microsoft.com/office/drawing/2014/main" id="{9AAD8F77-8E13-8D97-06E5-481E9C86E1E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795760" y="0"/>
          <a:ext cx="1394460" cy="548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358121990743" createdVersion="8" refreshedVersion="8" minRefreshableVersion="3" recordCount="303" xr:uid="{336EA80A-4AC3-49DF-8B4B-67BECAB34B54}">
  <cacheSource type="worksheet">
    <worksheetSource ref="A1:S304" sheet="Meesho_Data"/>
  </cacheSource>
  <cacheFields count="21">
    <cacheField name="Order_ID" numFmtId="0">
      <sharedItems/>
    </cacheField>
    <cacheField name="Order_Date" numFmtId="15">
      <sharedItems containsSemiMixedTypes="0" containsNonDate="0" containsDate="1" containsString="0" minDate="2024-01-04T00:00:00" maxDate="2024-12-31T00:00:00" count="204">
        <d v="2024-01-13T00:00:00"/>
        <d v="2024-08-02T00:00:00"/>
        <d v="2024-01-23T00:00:00"/>
        <d v="2024-07-13T00:00:00"/>
        <d v="2024-01-29T00:00:00"/>
        <d v="2024-10-25T00:00:00"/>
        <d v="2024-05-08T00:00:00"/>
        <d v="2024-02-24T00:00:00"/>
        <d v="2024-10-17T00:00:00"/>
        <d v="2024-07-23T00:00:00"/>
        <d v="2024-01-17T00:00:00"/>
        <d v="2024-07-29T00:00:00"/>
        <d v="2024-10-08T00:00:00"/>
        <d v="2024-05-26T00:00:00"/>
        <d v="2024-09-17T00:00:00"/>
        <d v="2024-04-14T00:00:00"/>
        <d v="2024-05-15T00:00:00"/>
        <d v="2024-03-23T00:00:00"/>
        <d v="2024-04-17T00:00:00"/>
        <d v="2024-03-22T00:00:00"/>
        <d v="2024-05-22T00:00:00"/>
        <d v="2024-02-29T00:00:00"/>
        <d v="2024-06-16T00:00:00"/>
        <d v="2024-08-14T00:00:00"/>
        <d v="2024-08-31T00:00:00"/>
        <d v="2024-10-12T00:00:00"/>
        <d v="2024-05-06T00:00:00"/>
        <d v="2024-12-21T00:00:00"/>
        <d v="2024-06-29T00:00:00"/>
        <d v="2024-03-06T00:00:00"/>
        <d v="2024-08-30T00:00:00"/>
        <d v="2024-04-11T00:00:00"/>
        <d v="2024-08-03T00:00:00"/>
        <d v="2024-04-07T00:00:00"/>
        <d v="2024-10-10T00:00:00"/>
        <d v="2024-09-04T00:00:00"/>
        <d v="2024-11-22T00:00:00"/>
        <d v="2024-03-17T00:00:00"/>
        <d v="2024-11-08T00:00:00"/>
        <d v="2024-08-12T00:00:00"/>
        <d v="2024-12-10T00:00:00"/>
        <d v="2024-01-28T00:00:00"/>
        <d v="2024-10-09T00:00:00"/>
        <d v="2024-08-16T00:00:00"/>
        <d v="2024-12-05T00:00:00"/>
        <d v="2024-06-22T00:00:00"/>
        <d v="2024-02-20T00:00:00"/>
        <d v="2024-03-30T00:00:00"/>
        <d v="2024-01-12T00:00:00"/>
        <d v="2024-01-18T00:00:00"/>
        <d v="2024-02-08T00:00:00"/>
        <d v="2024-02-25T00:00:00"/>
        <d v="2024-02-19T00:00:00"/>
        <d v="2024-04-21T00:00:00"/>
        <d v="2024-06-19T00:00:00"/>
        <d v="2024-08-17T00:00:00"/>
        <d v="2024-02-07T00:00:00"/>
        <d v="2024-08-19T00:00:00"/>
        <d v="2024-08-09T00:00:00"/>
        <d v="2024-01-15T00:00:00"/>
        <d v="2024-07-08T00:00:00"/>
        <d v="2024-05-19T00:00:00"/>
        <d v="2024-04-18T00:00:00"/>
        <d v="2024-02-09T00:00:00"/>
        <d v="2024-02-10T00:00:00"/>
        <d v="2024-05-11T00:00:00"/>
        <d v="2024-10-29T00:00:00"/>
        <d v="2024-06-13T00:00:00"/>
        <d v="2024-07-09T00:00:00"/>
        <d v="2024-07-04T00:00:00"/>
        <d v="2024-04-02T00:00:00"/>
        <d v="2024-08-24T00:00:00"/>
        <d v="2024-10-21T00:00:00"/>
        <d v="2024-08-28T00:00:00"/>
        <d v="2024-12-22T00:00:00"/>
        <d v="2024-01-19T00:00:00"/>
        <d v="2024-05-16T00:00:00"/>
        <d v="2024-04-30T00:00:00"/>
        <d v="2024-01-14T00:00:00"/>
        <d v="2024-12-15T00:00:00"/>
        <d v="2024-10-20T00:00:00"/>
        <d v="2024-08-26T00:00:00"/>
        <d v="2024-05-25T00:00:00"/>
        <d v="2024-12-18T00:00:00"/>
        <d v="2024-08-27T00:00:00"/>
        <d v="2024-01-05T00:00:00"/>
        <d v="2024-05-23T00:00:00"/>
        <d v="2024-08-21T00:00:00"/>
        <d v="2024-01-09T00:00:00"/>
        <d v="2024-12-14T00:00:00"/>
        <d v="2024-04-16T00:00:00"/>
        <d v="2024-05-27T00:00:00"/>
        <d v="2024-07-30T00:00:00"/>
        <d v="2024-01-20T00:00:00"/>
        <d v="2024-08-20T00:00:00"/>
        <d v="2024-05-31T00:00:00"/>
        <d v="2024-11-23T00:00:00"/>
        <d v="2024-12-26T00:00:00"/>
        <d v="2024-09-18T00:00:00"/>
        <d v="2024-08-04T00:00:00"/>
        <d v="2024-05-05T00:00:00"/>
        <d v="2024-06-02T00:00:00"/>
        <d v="2024-02-17T00:00:00"/>
        <d v="2024-09-02T00:00:00"/>
        <d v="2024-06-12T00:00:00"/>
        <d v="2024-12-01T00:00:00"/>
        <d v="2024-05-09T00:00:00"/>
        <d v="2024-10-15T00:00:00"/>
        <d v="2024-03-12T00:00:00"/>
        <d v="2024-04-05T00:00:00"/>
        <d v="2024-08-15T00:00:00"/>
        <d v="2024-05-29T00:00:00"/>
        <d v="2024-06-20T00:00:00"/>
        <d v="2024-07-11T00:00:00"/>
        <d v="2024-11-20T00:00:00"/>
        <d v="2024-12-02T00:00:00"/>
        <d v="2024-07-10T00:00:00"/>
        <d v="2024-10-13T00:00:00"/>
        <d v="2024-11-01T00:00:00"/>
        <d v="2024-08-22T00:00:00"/>
        <d v="2024-08-18T00:00:00"/>
        <d v="2024-09-29T00:00:00"/>
        <d v="2024-12-30T00:00:00"/>
        <d v="2024-09-06T00:00:00"/>
        <d v="2024-10-07T00:00:00"/>
        <d v="2024-09-01T00:00:00"/>
        <d v="2024-07-07T00:00:00"/>
        <d v="2024-12-03T00:00:00"/>
        <d v="2024-06-11T00:00:00"/>
        <d v="2024-07-31T00:00:00"/>
        <d v="2024-05-02T00:00:00"/>
        <d v="2024-09-12T00:00:00"/>
        <d v="2024-01-24T00:00:00"/>
        <d v="2024-10-24T00:00:00"/>
        <d v="2024-03-21T00:00:00"/>
        <d v="2024-11-25T00:00:00"/>
        <d v="2024-07-05T00:00:00"/>
        <d v="2024-12-06T00:00:00"/>
        <d v="2024-06-26T00:00:00"/>
        <d v="2024-01-25T00:00:00"/>
        <d v="2024-05-13T00:00:00"/>
        <d v="2024-02-21T00:00:00"/>
        <d v="2024-04-12T00:00:00"/>
        <d v="2024-07-14T00:00:00"/>
        <d v="2024-09-24T00:00:00"/>
        <d v="2024-01-22T00:00:00"/>
        <d v="2024-07-15T00:00:00"/>
        <d v="2024-05-07T00:00:00"/>
        <d v="2024-06-28T00:00:00"/>
        <d v="2024-01-04T00:00:00"/>
        <d v="2024-06-24T00:00:00"/>
        <d v="2024-04-09T00:00:00"/>
        <d v="2024-06-09T00:00:00"/>
        <d v="2024-09-14T00:00:00"/>
        <d v="2024-01-10T00:00:00"/>
        <d v="2024-11-30T00:00:00"/>
        <d v="2024-09-11T00:00:00"/>
        <d v="2024-11-09T00:00:00"/>
        <d v="2024-11-05T00:00:00"/>
        <d v="2024-02-28T00:00:00"/>
        <d v="2024-09-28T00:00:00"/>
        <d v="2024-12-09T00:00:00"/>
        <d v="2024-07-18T00:00:00"/>
        <d v="2024-04-22T00:00:00"/>
        <d v="2024-11-28T00:00:00"/>
        <d v="2024-12-16T00:00:00"/>
        <d v="2024-05-12T00:00:00"/>
        <d v="2024-05-24T00:00:00"/>
        <d v="2024-10-11T00:00:00"/>
        <d v="2024-11-13T00:00:00"/>
        <d v="2024-05-21T00:00:00"/>
        <d v="2024-09-13T00:00:00"/>
        <d v="2024-10-23T00:00:00"/>
        <d v="2024-12-04T00:00:00"/>
        <d v="2024-09-03T00:00:00"/>
        <d v="2024-08-05T00:00:00"/>
        <d v="2024-11-10T00:00:00"/>
        <d v="2024-12-11T00:00:00"/>
        <d v="2024-07-12T00:00:00"/>
        <d v="2024-12-17T00:00:00"/>
        <d v="2024-05-17T00:00:00"/>
        <d v="2024-05-18T00:00:00"/>
        <d v="2024-01-11T00:00:00"/>
        <d v="2024-12-29T00:00:00"/>
        <d v="2024-03-26T00:00:00"/>
        <d v="2024-09-25T00:00:00"/>
        <d v="2024-11-12T00:00:00"/>
        <d v="2024-03-18T00:00:00"/>
        <d v="2024-04-08T00:00:00"/>
        <d v="2024-06-15T00:00:00"/>
        <d v="2024-01-31T00:00:00"/>
        <d v="2024-09-05T00:00:00"/>
        <d v="2024-06-14T00:00:00"/>
        <d v="2024-11-15T00:00:00"/>
        <d v="2024-01-21T00:00:00"/>
        <d v="2024-03-10T00:00:00"/>
        <d v="2024-06-27T00:00:00"/>
        <d v="2024-01-26T00:00:00"/>
        <d v="2024-02-27T00:00:00"/>
        <d v="2024-10-06T00:00:00"/>
        <d v="2024-02-15T00:00:00"/>
        <d v="2024-04-04T00:00:00"/>
        <d v="2024-11-26T00:00:00"/>
        <d v="2024-03-08T00:00:00"/>
      </sharedItems>
      <fieldGroup par="20"/>
    </cacheField>
    <cacheField name="Product_Name" numFmtId="0">
      <sharedItems/>
    </cacheField>
    <cacheField name="Category" numFmtId="0">
      <sharedItems count="8">
        <s v="Clothing"/>
        <s v="Toys"/>
        <s v="Electronics Acc"/>
        <s v="Fitness"/>
        <s v="Stationery"/>
        <s v="Jewellery"/>
        <s v="Beauty"/>
        <s v="Home Decor"/>
      </sharedItems>
    </cacheField>
    <cacheField name="Gender" numFmtId="0">
      <sharedItems count="2">
        <s v="Male"/>
        <s v="Female"/>
      </sharedItems>
    </cacheField>
    <cacheField name="Sub_Category" numFmtId="0">
      <sharedItems/>
    </cacheField>
    <cacheField name="Selling_Price" numFmtId="0">
      <sharedItems containsSemiMixedTypes="0" containsString="0" containsNumber="1" containsInteger="1" minValue="2535" maxValue="215757"/>
    </cacheField>
    <cacheField name="Cost_Price" numFmtId="0">
      <sharedItems containsSemiMixedTypes="0" containsString="0" containsNumber="1" containsInteger="1" minValue="1515" maxValue="113544"/>
    </cacheField>
    <cacheField name="Shipping_Charge" numFmtId="0">
      <sharedItems containsSemiMixedTypes="0" containsString="0" containsNumber="1" containsInteger="1" minValue="35" maxValue="80"/>
    </cacheField>
    <cacheField name="Platform_Fee" numFmtId="0">
      <sharedItems containsSemiMixedTypes="0" containsString="0" containsNumber="1" containsInteger="1" minValue="11" maxValue="149"/>
    </cacheField>
    <cacheField name="Orders_Count" numFmtId="0">
      <sharedItems containsSemiMixedTypes="0" containsString="0" containsNumber="1" containsInteger="1" minValue="15" maxValue="200"/>
    </cacheField>
    <cacheField name="Returns_Count" numFmtId="0">
      <sharedItems containsSemiMixedTypes="0" containsString="0" containsNumber="1" containsInteger="1" minValue="0" maxValue="20"/>
    </cacheField>
    <cacheField name="Cancelled_Orders" numFmtId="0">
      <sharedItems containsSemiMixedTypes="0" containsString="0" containsNumber="1" containsInteger="1" minValue="0" maxValue="10"/>
    </cacheField>
    <cacheField name="Payment_Mode" numFmtId="0">
      <sharedItems count="3">
        <s v="Prepaid"/>
        <s v="UPI"/>
        <s v="COD"/>
      </sharedItems>
    </cacheField>
    <cacheField name="Customer_State" numFmtId="0">
      <sharedItems count="14">
        <s v="Delhi"/>
        <s v="Bihar"/>
        <s v="Uttar Pradesh"/>
        <s v="West Bengal"/>
        <s v="Karnataka"/>
        <s v="Tamil Nadu"/>
        <s v="Gujarat"/>
        <s v="Rajasthan"/>
        <s v="Madhya Pradesh"/>
        <s v="Maharashtra"/>
        <s v="UP" u="1"/>
        <s v="WB" u="1"/>
        <s v="TN" u="1"/>
        <s v="MP" u="1"/>
      </sharedItems>
    </cacheField>
    <cacheField name="Customer_City" numFmtId="0">
      <sharedItems/>
    </cacheField>
    <cacheField name="Delivery_Days" numFmtId="0">
      <sharedItems containsSemiMixedTypes="0" containsString="0" containsNumber="1" containsInteger="1" minValue="3" maxValue="10"/>
    </cacheField>
    <cacheField name="Coupon_Used" numFmtId="0">
      <sharedItems/>
    </cacheField>
    <cacheField name="Ad_Spend" numFmtId="0">
      <sharedItems containsSemiMixedTypes="0" containsString="0" containsNumber="1" containsInteger="1" minValue="0" maxValue="1000"/>
    </cacheField>
    <cacheField name="Days (Order_Date)" numFmtId="0" databaseField="0">
      <fieldGroup base="1">
        <rangePr groupBy="days" startDate="2024-01-04T00:00:00" endDate="2024-12-31T00:00:00"/>
        <groupItems count="368">
          <s v="&lt;0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_Date)" numFmtId="0" databaseField="0">
      <fieldGroup base="1">
        <rangePr groupBy="months" startDate="2024-01-04T00:00:00" endDate="2024-12-31T00:00:00"/>
        <groupItems count="14">
          <s v="&lt;04-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004222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
  <r>
    <s v="MSH00001"/>
    <x v="0"/>
    <s v="Night Suit Women"/>
    <x v="0"/>
    <x v="0"/>
    <s v="Women Lounge"/>
    <n v="56364"/>
    <n v="27258"/>
    <n v="40"/>
    <n v="47"/>
    <n v="154"/>
    <n v="18"/>
    <n v="6"/>
    <x v="0"/>
    <x v="0"/>
    <s v="Delhi"/>
    <n v="4"/>
    <s v="YES"/>
    <n v="200"/>
  </r>
  <r>
    <s v="MSH00002"/>
    <x v="1"/>
    <s v="Soft Toy Bear"/>
    <x v="1"/>
    <x v="1"/>
    <s v="Plush"/>
    <n v="18150"/>
    <n v="9405"/>
    <n v="35"/>
    <n v="44"/>
    <n v="55"/>
    <n v="2"/>
    <n v="1"/>
    <x v="0"/>
    <x v="1"/>
    <s v="Patna"/>
    <n v="3"/>
    <s v="NO"/>
    <n v="500"/>
  </r>
  <r>
    <s v="MSH00003"/>
    <x v="2"/>
    <s v="Phone Cover Printed"/>
    <x v="2"/>
    <x v="0"/>
    <s v="Mobile"/>
    <n v="55350"/>
    <n v="38340"/>
    <n v="70"/>
    <n v="53"/>
    <n v="90"/>
    <n v="9"/>
    <n v="2"/>
    <x v="1"/>
    <x v="2"/>
    <s v="Lucknow"/>
    <n v="8"/>
    <s v="NO"/>
    <n v="100"/>
  </r>
  <r>
    <s v="MSH00004"/>
    <x v="3"/>
    <s v="Denim Jeans Men"/>
    <x v="0"/>
    <x v="1"/>
    <s v="Men Bottom"/>
    <n v="26996"/>
    <n v="17748"/>
    <n v="45"/>
    <n v="42"/>
    <n v="68"/>
    <n v="1"/>
    <n v="1"/>
    <x v="2"/>
    <x v="3"/>
    <s v="Kolkata"/>
    <n v="6"/>
    <s v="NO"/>
    <n v="100"/>
  </r>
  <r>
    <s v="MSH00005"/>
    <x v="4"/>
    <s v="Yoga Mat 6mm"/>
    <x v="3"/>
    <x v="0"/>
    <s v="Mat"/>
    <n v="26013"/>
    <n v="16974"/>
    <n v="70"/>
    <n v="37"/>
    <n v="69"/>
    <n v="5"/>
    <n v="1"/>
    <x v="2"/>
    <x v="3"/>
    <s v="Kolkata"/>
    <n v="4"/>
    <s v="NO"/>
    <n v="750"/>
  </r>
  <r>
    <s v="MSH00006"/>
    <x v="5"/>
    <s v="File Folder Set"/>
    <x v="4"/>
    <x v="1"/>
    <s v="Folder"/>
    <n v="19456"/>
    <n v="13604"/>
    <n v="45"/>
    <n v="59"/>
    <n v="38"/>
    <n v="0"/>
    <n v="0"/>
    <x v="0"/>
    <x v="4"/>
    <s v="Bangalore"/>
    <n v="3"/>
    <s v="NO"/>
    <n v="750"/>
  </r>
  <r>
    <s v="MSH00007"/>
    <x v="6"/>
    <s v="Building Blocks"/>
    <x v="1"/>
    <x v="0"/>
    <s v="Educational"/>
    <n v="116128"/>
    <n v="52592"/>
    <n v="40"/>
    <n v="98"/>
    <n v="152"/>
    <n v="10"/>
    <n v="1"/>
    <x v="2"/>
    <x v="3"/>
    <s v="Kolkata"/>
    <n v="3"/>
    <s v="NO"/>
    <n v="100"/>
  </r>
  <r>
    <s v="MSH00008"/>
    <x v="7"/>
    <s v="Toy Car Set Kids"/>
    <x v="1"/>
    <x v="1"/>
    <s v="Vehicle"/>
    <n v="52416"/>
    <n v="31976"/>
    <n v="50"/>
    <n v="85"/>
    <n v="56"/>
    <n v="6"/>
    <n v="2"/>
    <x v="1"/>
    <x v="2"/>
    <s v="Lucknow"/>
    <n v="3"/>
    <s v="NO"/>
    <n v="1000"/>
  </r>
  <r>
    <s v="MSH00009"/>
    <x v="8"/>
    <s v="Anklet Pair"/>
    <x v="5"/>
    <x v="0"/>
    <s v="Anklet"/>
    <n v="25821"/>
    <n v="14798"/>
    <n v="40"/>
    <n v="25"/>
    <n v="151"/>
    <n v="4"/>
    <n v="7"/>
    <x v="2"/>
    <x v="5"/>
    <s v="Chennai"/>
    <n v="7"/>
    <s v="NO"/>
    <n v="300"/>
  </r>
  <r>
    <s v="MSH00010"/>
    <x v="9"/>
    <s v="Pop Socket Grip"/>
    <x v="2"/>
    <x v="1"/>
    <s v="Mobile"/>
    <n v="76896"/>
    <n v="43056"/>
    <n v="80"/>
    <n v="94"/>
    <n v="72"/>
    <n v="5"/>
    <n v="0"/>
    <x v="2"/>
    <x v="2"/>
    <s v="Lucknow"/>
    <n v="3"/>
    <s v="NO"/>
    <n v="200"/>
  </r>
  <r>
    <s v="MSH00011"/>
    <x v="10"/>
    <s v="Saree Cotton"/>
    <x v="0"/>
    <x v="0"/>
    <s v="Women Saree"/>
    <n v="19056"/>
    <n v="9696"/>
    <n v="80"/>
    <n v="38"/>
    <n v="48"/>
    <n v="4"/>
    <n v="1"/>
    <x v="2"/>
    <x v="0"/>
    <s v="Delhi"/>
    <n v="3"/>
    <s v="NO"/>
    <n v="750"/>
  </r>
  <r>
    <s v="MSH00012"/>
    <x v="11"/>
    <s v="File Folder Set"/>
    <x v="4"/>
    <x v="0"/>
    <s v="Folder"/>
    <n v="69589"/>
    <n v="32219"/>
    <n v="40"/>
    <n v="58"/>
    <n v="101"/>
    <n v="3"/>
    <n v="1"/>
    <x v="0"/>
    <x v="6"/>
    <s v="Ahmedabad"/>
    <n v="4"/>
    <s v="NO"/>
    <n v="100"/>
  </r>
  <r>
    <s v="MSH00013"/>
    <x v="12"/>
    <s v="Face Wash 100ml"/>
    <x v="6"/>
    <x v="1"/>
    <s v="Skincare"/>
    <n v="12600"/>
    <n v="8850"/>
    <n v="35"/>
    <n v="25"/>
    <n v="75"/>
    <n v="6"/>
    <n v="3"/>
    <x v="0"/>
    <x v="2"/>
    <s v="Lucknow"/>
    <n v="4"/>
    <s v="NO"/>
    <n v="750"/>
  </r>
  <r>
    <s v="MSH00014"/>
    <x v="13"/>
    <s v="Kajal Waterproof"/>
    <x v="6"/>
    <x v="1"/>
    <s v="Eyes"/>
    <n v="52110"/>
    <n v="32940"/>
    <n v="80"/>
    <n v="53"/>
    <n v="90"/>
    <n v="0"/>
    <n v="4"/>
    <x v="0"/>
    <x v="2"/>
    <s v="Lucknow"/>
    <n v="3"/>
    <s v="YES"/>
    <n v="500"/>
  </r>
  <r>
    <s v="MSH00015"/>
    <x v="14"/>
    <s v="Kids Frock"/>
    <x v="0"/>
    <x v="0"/>
    <s v="Kids Girls"/>
    <n v="17100"/>
    <n v="8025"/>
    <n v="40"/>
    <n v="29"/>
    <n v="75"/>
    <n v="1"/>
    <n v="1"/>
    <x v="0"/>
    <x v="6"/>
    <s v="Ahmedabad"/>
    <n v="8"/>
    <s v="YES"/>
    <n v="0"/>
  </r>
  <r>
    <s v="MSH00016"/>
    <x v="15"/>
    <s v="Phone Cover Printed"/>
    <x v="2"/>
    <x v="1"/>
    <s v="Mobile"/>
    <n v="196740"/>
    <n v="100260"/>
    <n v="70"/>
    <n v="97"/>
    <n v="180"/>
    <n v="14"/>
    <n v="5"/>
    <x v="0"/>
    <x v="3"/>
    <s v="Kolkata"/>
    <n v="7"/>
    <s v="YES"/>
    <n v="0"/>
  </r>
  <r>
    <s v="MSH00017"/>
    <x v="16"/>
    <s v="Toy Car Set Kids"/>
    <x v="1"/>
    <x v="0"/>
    <s v="Vehicle"/>
    <n v="17215"/>
    <n v="11550"/>
    <n v="50"/>
    <n v="33"/>
    <n v="55"/>
    <n v="6"/>
    <n v="2"/>
    <x v="0"/>
    <x v="5"/>
    <s v="Chennai"/>
    <n v="5"/>
    <s v="NO"/>
    <n v="0"/>
  </r>
  <r>
    <s v="MSH00018"/>
    <x v="7"/>
    <s v="Night Suit Women"/>
    <x v="0"/>
    <x v="0"/>
    <s v="Women Lounge"/>
    <n v="39396"/>
    <n v="20502"/>
    <n v="50"/>
    <n v="77"/>
    <n v="67"/>
    <n v="4"/>
    <n v="3"/>
    <x v="0"/>
    <x v="6"/>
    <s v="Ahmedabad"/>
    <n v="5"/>
    <s v="YES"/>
    <n v="0"/>
  </r>
  <r>
    <s v="MSH00019"/>
    <x v="17"/>
    <s v="Phone Cover Printed"/>
    <x v="2"/>
    <x v="1"/>
    <s v="Mobile"/>
    <n v="118038"/>
    <n v="65704"/>
    <n v="35"/>
    <n v="54"/>
    <n v="191"/>
    <n v="17"/>
    <n v="0"/>
    <x v="1"/>
    <x v="6"/>
    <s v="Ahmedabad"/>
    <n v="4"/>
    <s v="NO"/>
    <n v="100"/>
  </r>
  <r>
    <s v="MSH00020"/>
    <x v="18"/>
    <s v="Water Bottle 1L"/>
    <x v="3"/>
    <x v="0"/>
    <s v="Bottle"/>
    <n v="49572"/>
    <n v="23598"/>
    <n v="70"/>
    <n v="136"/>
    <n v="54"/>
    <n v="6"/>
    <n v="0"/>
    <x v="1"/>
    <x v="2"/>
    <s v="Lucknow"/>
    <n v="4"/>
    <s v="NO"/>
    <n v="750"/>
  </r>
  <r>
    <s v="MSH00021"/>
    <x v="19"/>
    <s v="Earphones Wired"/>
    <x v="2"/>
    <x v="1"/>
    <s v="Audio"/>
    <n v="25476"/>
    <n v="11748"/>
    <n v="80"/>
    <n v="18"/>
    <n v="132"/>
    <n v="9"/>
    <n v="6"/>
    <x v="0"/>
    <x v="2"/>
    <s v="Lucknow"/>
    <n v="8"/>
    <s v="NO"/>
    <n v="200"/>
  </r>
  <r>
    <s v="MSH00022"/>
    <x v="20"/>
    <s v="Saree Cotton"/>
    <x v="0"/>
    <x v="0"/>
    <s v="Women Saree"/>
    <n v="21868"/>
    <n v="12012"/>
    <n v="60"/>
    <n v="72"/>
    <n v="44"/>
    <n v="1"/>
    <n v="2"/>
    <x v="2"/>
    <x v="4"/>
    <s v="Bangalore"/>
    <n v="6"/>
    <s v="YES"/>
    <n v="0"/>
  </r>
  <r>
    <s v="MSH00023"/>
    <x v="21"/>
    <s v="Toy Car Set Kids"/>
    <x v="1"/>
    <x v="1"/>
    <s v="Vehicle"/>
    <n v="9285"/>
    <n v="4620"/>
    <n v="35"/>
    <n v="80"/>
    <n v="15"/>
    <n v="0"/>
    <n v="1"/>
    <x v="0"/>
    <x v="4"/>
    <s v="Bangalore"/>
    <n v="5"/>
    <s v="YES"/>
    <n v="500"/>
  </r>
  <r>
    <s v="MSH00024"/>
    <x v="22"/>
    <s v="Sticky Notes 5Pack"/>
    <x v="4"/>
    <x v="0"/>
    <s v="Notes"/>
    <n v="64848"/>
    <n v="38192"/>
    <n v="50"/>
    <n v="63"/>
    <n v="112"/>
    <n v="9"/>
    <n v="4"/>
    <x v="0"/>
    <x v="7"/>
    <s v="Jaipur"/>
    <n v="5"/>
    <s v="NO"/>
    <n v="0"/>
  </r>
  <r>
    <s v="MSH00025"/>
    <x v="23"/>
    <s v="Kajal Waterproof"/>
    <x v="6"/>
    <x v="1"/>
    <s v="Eyes"/>
    <n v="56202"/>
    <n v="32451"/>
    <n v="45"/>
    <n v="81"/>
    <n v="87"/>
    <n v="10"/>
    <n v="4"/>
    <x v="2"/>
    <x v="7"/>
    <s v="Jaipur"/>
    <n v="4"/>
    <s v="YES"/>
    <n v="200"/>
  </r>
  <r>
    <s v="MSH00026"/>
    <x v="24"/>
    <s v="Anklet Pair"/>
    <x v="5"/>
    <x v="0"/>
    <s v="Anklet"/>
    <n v="160380"/>
    <n v="75168"/>
    <n v="70"/>
    <n v="141"/>
    <n v="162"/>
    <n v="12"/>
    <n v="7"/>
    <x v="2"/>
    <x v="2"/>
    <s v="Lucknow"/>
    <n v="3"/>
    <s v="NO"/>
    <n v="100"/>
  </r>
  <r>
    <s v="MSH00027"/>
    <x v="25"/>
    <s v="Kids Frock"/>
    <x v="0"/>
    <x v="1"/>
    <s v="Kids Girls"/>
    <n v="71965"/>
    <n v="34595"/>
    <n v="45"/>
    <n v="53"/>
    <n v="185"/>
    <n v="17"/>
    <n v="9"/>
    <x v="2"/>
    <x v="5"/>
    <s v="Chennai"/>
    <n v="6"/>
    <s v="NO"/>
    <n v="750"/>
  </r>
  <r>
    <s v="MSH00028"/>
    <x v="26"/>
    <s v="Phone Cover Printed"/>
    <x v="2"/>
    <x v="0"/>
    <s v="Mobile"/>
    <n v="78880"/>
    <n v="50830"/>
    <n v="80"/>
    <n v="115"/>
    <n v="85"/>
    <n v="1"/>
    <n v="2"/>
    <x v="2"/>
    <x v="8"/>
    <s v="Bhopal"/>
    <n v="7"/>
    <s v="NO"/>
    <n v="500"/>
  </r>
  <r>
    <s v="MSH00029"/>
    <x v="27"/>
    <s v="Notebook A5 Pack"/>
    <x v="4"/>
    <x v="0"/>
    <s v="Notebook"/>
    <n v="38860"/>
    <n v="18090"/>
    <n v="70"/>
    <n v="30"/>
    <n v="134"/>
    <n v="1"/>
    <n v="1"/>
    <x v="0"/>
    <x v="4"/>
    <s v="Bangalore"/>
    <n v="8"/>
    <s v="NO"/>
    <n v="750"/>
  </r>
  <r>
    <s v="MSH00030"/>
    <x v="28"/>
    <s v="Anarkali Kurti"/>
    <x v="0"/>
    <x v="0"/>
    <s v="Women Ethnic"/>
    <n v="68068"/>
    <n v="45122"/>
    <n v="70"/>
    <n v="52"/>
    <n v="154"/>
    <n v="7"/>
    <n v="7"/>
    <x v="1"/>
    <x v="3"/>
    <s v="Kolkata"/>
    <n v="3"/>
    <s v="NO"/>
    <n v="750"/>
  </r>
  <r>
    <s v="MSH00031"/>
    <x v="29"/>
    <s v="Kajal Waterproof"/>
    <x v="6"/>
    <x v="1"/>
    <s v="Eyes"/>
    <n v="110112"/>
    <n v="74524"/>
    <n v="35"/>
    <n v="76"/>
    <n v="124"/>
    <n v="13"/>
    <n v="3"/>
    <x v="0"/>
    <x v="6"/>
    <s v="Ahmedabad"/>
    <n v="5"/>
    <s v="YES"/>
    <n v="300"/>
  </r>
  <r>
    <s v="MSH00032"/>
    <x v="20"/>
    <s v="Notebook A5 Pack"/>
    <x v="4"/>
    <x v="0"/>
    <s v="Notebook"/>
    <n v="13720"/>
    <n v="6468"/>
    <n v="35"/>
    <n v="65"/>
    <n v="28"/>
    <n v="1"/>
    <n v="0"/>
    <x v="0"/>
    <x v="0"/>
    <s v="Delhi"/>
    <n v="4"/>
    <s v="YES"/>
    <n v="0"/>
  </r>
  <r>
    <s v="MSH00033"/>
    <x v="30"/>
    <s v="Kitchen Organizer"/>
    <x v="7"/>
    <x v="1"/>
    <s v="Storage"/>
    <n v="94503"/>
    <n v="64964"/>
    <n v="80"/>
    <n v="112"/>
    <n v="109"/>
    <n v="9"/>
    <n v="4"/>
    <x v="0"/>
    <x v="7"/>
    <s v="Jaipur"/>
    <n v="3"/>
    <s v="YES"/>
    <n v="100"/>
  </r>
  <r>
    <s v="MSH00034"/>
    <x v="31"/>
    <s v="Pen Set 10pc"/>
    <x v="4"/>
    <x v="0"/>
    <s v="Pen"/>
    <n v="19228"/>
    <n v="12604"/>
    <n v="50"/>
    <n v="18"/>
    <n v="92"/>
    <n v="1"/>
    <n v="4"/>
    <x v="1"/>
    <x v="5"/>
    <s v="Chennai"/>
    <n v="6"/>
    <s v="YES"/>
    <n v="500"/>
  </r>
  <r>
    <s v="MSH00035"/>
    <x v="32"/>
    <s v="Anarkali Kurti"/>
    <x v="0"/>
    <x v="1"/>
    <s v="Women Ethnic"/>
    <n v="65268"/>
    <n v="45108"/>
    <n v="80"/>
    <n v="67"/>
    <n v="126"/>
    <n v="8"/>
    <n v="4"/>
    <x v="1"/>
    <x v="6"/>
    <s v="Ahmedabad"/>
    <n v="8"/>
    <s v="NO"/>
    <n v="1000"/>
  </r>
  <r>
    <s v="MSH00036"/>
    <x v="20"/>
    <s v="Palazzo Set"/>
    <x v="0"/>
    <x v="0"/>
    <s v="Women Ethnic"/>
    <n v="77409"/>
    <n v="43851"/>
    <n v="70"/>
    <n v="57"/>
    <n v="141"/>
    <n v="5"/>
    <n v="7"/>
    <x v="2"/>
    <x v="8"/>
    <s v="Bhopal"/>
    <n v="5"/>
    <s v="NO"/>
    <n v="300"/>
  </r>
  <r>
    <s v="MSH00037"/>
    <x v="33"/>
    <s v="Building Blocks"/>
    <x v="1"/>
    <x v="1"/>
    <s v="Educational"/>
    <n v="32760"/>
    <n v="18000"/>
    <n v="50"/>
    <n v="23"/>
    <n v="180"/>
    <n v="14"/>
    <n v="0"/>
    <x v="1"/>
    <x v="6"/>
    <s v="Ahmedabad"/>
    <n v="8"/>
    <s v="NO"/>
    <n v="200"/>
  </r>
  <r>
    <s v="MSH00038"/>
    <x v="34"/>
    <s v="Lipstick Set 6pc"/>
    <x v="6"/>
    <x v="0"/>
    <s v="Lips"/>
    <n v="83185"/>
    <n v="58164"/>
    <n v="60"/>
    <n v="66"/>
    <n v="131"/>
    <n v="9"/>
    <n v="2"/>
    <x v="0"/>
    <x v="8"/>
    <s v="Bhopal"/>
    <n v="3"/>
    <s v="YES"/>
    <n v="200"/>
  </r>
  <r>
    <s v="MSH00039"/>
    <x v="35"/>
    <s v="Bangles Set"/>
    <x v="5"/>
    <x v="1"/>
    <s v="Bangles"/>
    <n v="28032"/>
    <n v="19456"/>
    <n v="55"/>
    <n v="65"/>
    <n v="64"/>
    <n v="3"/>
    <n v="2"/>
    <x v="0"/>
    <x v="5"/>
    <s v="Chennai"/>
    <n v="4"/>
    <s v="NO"/>
    <n v="0"/>
  </r>
  <r>
    <s v="MSH00040"/>
    <x v="36"/>
    <s v="Kitchen Organizer"/>
    <x v="7"/>
    <x v="0"/>
    <s v="Storage"/>
    <n v="65786"/>
    <n v="29845"/>
    <n v="55"/>
    <n v="58"/>
    <n v="127"/>
    <n v="5"/>
    <n v="0"/>
    <x v="0"/>
    <x v="1"/>
    <s v="Patna"/>
    <n v="6"/>
    <s v="NO"/>
    <n v="0"/>
  </r>
  <r>
    <s v="MSH00041"/>
    <x v="37"/>
    <s v="Bed Sheet King"/>
    <x v="7"/>
    <x v="0"/>
    <s v="Bedding"/>
    <n v="123783"/>
    <n v="58322"/>
    <n v="50"/>
    <n v="90"/>
    <n v="121"/>
    <n v="9"/>
    <n v="6"/>
    <x v="0"/>
    <x v="3"/>
    <s v="Kolkata"/>
    <n v="6"/>
    <s v="NO"/>
    <n v="750"/>
  </r>
  <r>
    <s v="MSH00042"/>
    <x v="38"/>
    <s v="Kids Frock"/>
    <x v="0"/>
    <x v="1"/>
    <s v="Kids Girls"/>
    <n v="8225"/>
    <n v="4130"/>
    <n v="50"/>
    <n v="23"/>
    <n v="35"/>
    <n v="1"/>
    <n v="0"/>
    <x v="2"/>
    <x v="2"/>
    <s v="Lucknow"/>
    <n v="6"/>
    <s v="YES"/>
    <n v="100"/>
  </r>
  <r>
    <s v="MSH00043"/>
    <x v="10"/>
    <s v="USB Cable 3in1"/>
    <x v="2"/>
    <x v="1"/>
    <s v="Cable"/>
    <n v="22940"/>
    <n v="11914"/>
    <n v="80"/>
    <n v="26"/>
    <n v="74"/>
    <n v="3"/>
    <n v="3"/>
    <x v="0"/>
    <x v="7"/>
    <s v="Jaipur"/>
    <n v="4"/>
    <s v="NO"/>
    <n v="100"/>
  </r>
  <r>
    <s v="MSH00044"/>
    <x v="39"/>
    <s v="USB Cable 3in1"/>
    <x v="2"/>
    <x v="0"/>
    <s v="Cable"/>
    <n v="28457"/>
    <n v="15015"/>
    <n v="70"/>
    <n v="29"/>
    <n v="143"/>
    <n v="15"/>
    <n v="7"/>
    <x v="0"/>
    <x v="8"/>
    <s v="Bhopal"/>
    <n v="7"/>
    <s v="YES"/>
    <n v="750"/>
  </r>
  <r>
    <s v="MSH00045"/>
    <x v="40"/>
    <s v="Leggings Pack of 3"/>
    <x v="0"/>
    <x v="1"/>
    <s v="Women Bottom"/>
    <n v="75296"/>
    <n v="48327"/>
    <n v="45"/>
    <n v="47"/>
    <n v="181"/>
    <n v="8"/>
    <n v="2"/>
    <x v="0"/>
    <x v="1"/>
    <s v="Patna"/>
    <n v="6"/>
    <s v="NO"/>
    <n v="1000"/>
  </r>
  <r>
    <s v="MSH00046"/>
    <x v="17"/>
    <s v="Denim Jeans Men"/>
    <x v="0"/>
    <x v="0"/>
    <s v="Men Bottom"/>
    <n v="70680"/>
    <n v="40610"/>
    <n v="70"/>
    <n v="62"/>
    <n v="155"/>
    <n v="14"/>
    <n v="1"/>
    <x v="0"/>
    <x v="1"/>
    <s v="Patna"/>
    <n v="6"/>
    <s v="NO"/>
    <n v="500"/>
  </r>
  <r>
    <s v="MSH00047"/>
    <x v="41"/>
    <s v="Sticky Notes 5Pack"/>
    <x v="4"/>
    <x v="0"/>
    <s v="Notes"/>
    <n v="9492"/>
    <n v="5740"/>
    <n v="80"/>
    <n v="42"/>
    <n v="28"/>
    <n v="2"/>
    <n v="0"/>
    <x v="0"/>
    <x v="1"/>
    <s v="Patna"/>
    <n v="3"/>
    <s v="NO"/>
    <n v="1000"/>
  </r>
  <r>
    <s v="MSH00048"/>
    <x v="42"/>
    <s v="Pop Socket Grip"/>
    <x v="2"/>
    <x v="1"/>
    <s v="Mobile"/>
    <n v="6165"/>
    <n v="2925"/>
    <n v="40"/>
    <n v="15"/>
    <n v="45"/>
    <n v="1"/>
    <n v="1"/>
    <x v="2"/>
    <x v="6"/>
    <s v="Ahmedabad"/>
    <n v="6"/>
    <s v="NO"/>
    <n v="300"/>
  </r>
  <r>
    <s v="MSH00049"/>
    <x v="33"/>
    <s v="Notebook A5 Pack"/>
    <x v="4"/>
    <x v="0"/>
    <s v="Notebook"/>
    <n v="106480"/>
    <n v="71269"/>
    <n v="40"/>
    <n v="87"/>
    <n v="121"/>
    <n v="14"/>
    <n v="6"/>
    <x v="0"/>
    <x v="7"/>
    <s v="Jaipur"/>
    <n v="8"/>
    <s v="NO"/>
    <n v="0"/>
  </r>
  <r>
    <s v="MSH00050"/>
    <x v="43"/>
    <s v="Bed Sheet King"/>
    <x v="7"/>
    <x v="1"/>
    <s v="Bedding"/>
    <n v="64990"/>
    <n v="34629"/>
    <n v="70"/>
    <n v="75"/>
    <n v="97"/>
    <n v="11"/>
    <n v="1"/>
    <x v="2"/>
    <x v="6"/>
    <s v="Ahmedabad"/>
    <n v="3"/>
    <s v="NO"/>
    <n v="200"/>
  </r>
  <r>
    <s v="MSH00051"/>
    <x v="44"/>
    <s v="Notebook A5 Pack"/>
    <x v="4"/>
    <x v="0"/>
    <s v="Notebook"/>
    <n v="197872"/>
    <n v="113544"/>
    <n v="35"/>
    <n v="106"/>
    <n v="166"/>
    <n v="3"/>
    <n v="7"/>
    <x v="2"/>
    <x v="9"/>
    <s v="Mumbai"/>
    <n v="6"/>
    <s v="NO"/>
    <n v="0"/>
  </r>
  <r>
    <s v="MSH00052"/>
    <x v="45"/>
    <s v="Phone Cover Printed"/>
    <x v="2"/>
    <x v="1"/>
    <s v="Mobile"/>
    <n v="141789"/>
    <n v="86825"/>
    <n v="60"/>
    <n v="131"/>
    <n v="151"/>
    <n v="10"/>
    <n v="7"/>
    <x v="1"/>
    <x v="0"/>
    <s v="Delhi"/>
    <n v="8"/>
    <s v="YES"/>
    <n v="0"/>
  </r>
  <r>
    <s v="MSH00053"/>
    <x v="46"/>
    <s v="File Folder Set"/>
    <x v="4"/>
    <x v="0"/>
    <s v="Folder"/>
    <n v="23936"/>
    <n v="11374"/>
    <n v="45"/>
    <n v="140"/>
    <n v="22"/>
    <n v="1"/>
    <n v="0"/>
    <x v="0"/>
    <x v="6"/>
    <s v="Ahmedabad"/>
    <n v="4"/>
    <s v="NO"/>
    <n v="500"/>
  </r>
  <r>
    <s v="MSH00054"/>
    <x v="47"/>
    <s v="Wall Clock Wooden"/>
    <x v="7"/>
    <x v="1"/>
    <s v="Decor"/>
    <n v="34440"/>
    <n v="18860"/>
    <n v="50"/>
    <n v="24"/>
    <n v="164"/>
    <n v="7"/>
    <n v="7"/>
    <x v="0"/>
    <x v="7"/>
    <s v="Jaipur"/>
    <n v="8"/>
    <s v="NO"/>
    <n v="1000"/>
  </r>
  <r>
    <s v="MSH00055"/>
    <x v="23"/>
    <s v="Saree Cotton"/>
    <x v="0"/>
    <x v="0"/>
    <s v="Women Saree"/>
    <n v="72967"/>
    <n v="38252"/>
    <n v="70"/>
    <n v="71"/>
    <n v="131"/>
    <n v="6"/>
    <n v="3"/>
    <x v="1"/>
    <x v="0"/>
    <s v="Delhi"/>
    <n v="6"/>
    <s v="NO"/>
    <n v="0"/>
  </r>
  <r>
    <s v="MSH00056"/>
    <x v="48"/>
    <s v="USB Cable 3in1"/>
    <x v="2"/>
    <x v="1"/>
    <s v="Cable"/>
    <n v="138166"/>
    <n v="62480"/>
    <n v="35"/>
    <n v="140"/>
    <n v="142"/>
    <n v="7"/>
    <n v="5"/>
    <x v="2"/>
    <x v="9"/>
    <s v="Mumbai"/>
    <n v="8"/>
    <s v="NO"/>
    <n v="300"/>
  </r>
  <r>
    <s v="MSH00057"/>
    <x v="49"/>
    <s v="Face Wash 100ml"/>
    <x v="6"/>
    <x v="0"/>
    <s v="Skincare"/>
    <n v="100793"/>
    <n v="48642"/>
    <n v="55"/>
    <n v="86"/>
    <n v="121"/>
    <n v="3"/>
    <n v="1"/>
    <x v="1"/>
    <x v="9"/>
    <s v="Mumbai"/>
    <n v="5"/>
    <s v="NO"/>
    <n v="300"/>
  </r>
  <r>
    <s v="MSH00058"/>
    <x v="50"/>
    <s v="Kajal Waterproof"/>
    <x v="6"/>
    <x v="0"/>
    <s v="Eyes"/>
    <n v="46315"/>
    <n v="23393"/>
    <n v="70"/>
    <n v="44"/>
    <n v="157"/>
    <n v="2"/>
    <n v="6"/>
    <x v="2"/>
    <x v="3"/>
    <s v="Kolkata"/>
    <n v="5"/>
    <s v="NO"/>
    <n v="0"/>
  </r>
  <r>
    <s v="MSH00059"/>
    <x v="51"/>
    <s v="Skipping Rope"/>
    <x v="3"/>
    <x v="0"/>
    <s v="Rope"/>
    <n v="64752"/>
    <n v="29536"/>
    <n v="60"/>
    <n v="131"/>
    <n v="71"/>
    <n v="1"/>
    <n v="3"/>
    <x v="0"/>
    <x v="1"/>
    <s v="Patna"/>
    <n v="4"/>
    <s v="NO"/>
    <n v="750"/>
  </r>
  <r>
    <s v="MSH00060"/>
    <x v="52"/>
    <s v="Night Suit Women"/>
    <x v="0"/>
    <x v="1"/>
    <s v="Women Lounge"/>
    <n v="74305"/>
    <n v="35898"/>
    <n v="80"/>
    <n v="41"/>
    <n v="193"/>
    <n v="13"/>
    <n v="9"/>
    <x v="0"/>
    <x v="1"/>
    <s v="Patna"/>
    <n v="6"/>
    <s v="NO"/>
    <n v="750"/>
  </r>
  <r>
    <s v="MSH00061"/>
    <x v="53"/>
    <s v="Skipping Rope"/>
    <x v="3"/>
    <x v="0"/>
    <s v="Rope"/>
    <n v="112860"/>
    <n v="57380"/>
    <n v="60"/>
    <n v="52"/>
    <n v="190"/>
    <n v="17"/>
    <n v="5"/>
    <x v="0"/>
    <x v="0"/>
    <s v="Delhi"/>
    <n v="3"/>
    <s v="NO"/>
    <n v="300"/>
  </r>
  <r>
    <s v="MSH00062"/>
    <x v="54"/>
    <s v="Kids Frock"/>
    <x v="0"/>
    <x v="1"/>
    <s v="Kids Girls"/>
    <n v="62088"/>
    <n v="40092"/>
    <n v="50"/>
    <n v="34"/>
    <n v="156"/>
    <n v="18"/>
    <n v="3"/>
    <x v="1"/>
    <x v="9"/>
    <s v="Mumbai"/>
    <n v="7"/>
    <s v="NO"/>
    <n v="500"/>
  </r>
  <r>
    <s v="MSH00063"/>
    <x v="6"/>
    <s v="Soft Toy Bear"/>
    <x v="1"/>
    <x v="0"/>
    <s v="Plush"/>
    <n v="17250"/>
    <n v="11475"/>
    <n v="45"/>
    <n v="19"/>
    <n v="75"/>
    <n v="5"/>
    <n v="0"/>
    <x v="0"/>
    <x v="9"/>
    <s v="Mumbai"/>
    <n v="8"/>
    <s v="NO"/>
    <n v="0"/>
  </r>
  <r>
    <s v="MSH00064"/>
    <x v="55"/>
    <s v="Lipstick Set 6pc"/>
    <x v="6"/>
    <x v="1"/>
    <s v="Lips"/>
    <n v="12324"/>
    <n v="5876"/>
    <n v="50"/>
    <n v="69"/>
    <n v="26"/>
    <n v="2"/>
    <n v="1"/>
    <x v="2"/>
    <x v="3"/>
    <s v="Kolkata"/>
    <n v="6"/>
    <s v="YES"/>
    <n v="0"/>
  </r>
  <r>
    <s v="MSH00065"/>
    <x v="56"/>
    <s v="Face Wash 100ml"/>
    <x v="6"/>
    <x v="0"/>
    <s v="Skincare"/>
    <n v="33453"/>
    <n v="16284"/>
    <n v="45"/>
    <n v="19"/>
    <n v="177"/>
    <n v="17"/>
    <n v="5"/>
    <x v="0"/>
    <x v="5"/>
    <s v="Chennai"/>
    <n v="7"/>
    <s v="NO"/>
    <n v="1000"/>
  </r>
  <r>
    <s v="MSH00066"/>
    <x v="57"/>
    <s v="File Folder Set"/>
    <x v="4"/>
    <x v="1"/>
    <s v="Folder"/>
    <n v="12714"/>
    <n v="8346"/>
    <n v="70"/>
    <n v="36"/>
    <n v="39"/>
    <n v="3"/>
    <n v="1"/>
    <x v="0"/>
    <x v="9"/>
    <s v="Mumbai"/>
    <n v="8"/>
    <s v="NO"/>
    <n v="500"/>
  </r>
  <r>
    <s v="MSH00067"/>
    <x v="58"/>
    <s v="Palazzo Set"/>
    <x v="0"/>
    <x v="0"/>
    <s v="Women Ethnic"/>
    <n v="36300"/>
    <n v="19635"/>
    <n v="45"/>
    <n v="26"/>
    <n v="165"/>
    <n v="17"/>
    <n v="5"/>
    <x v="2"/>
    <x v="8"/>
    <s v="Bhopal"/>
    <n v="8"/>
    <s v="YES"/>
    <n v="750"/>
  </r>
  <r>
    <s v="MSH00068"/>
    <x v="28"/>
    <s v="Pop Socket Grip"/>
    <x v="2"/>
    <x v="1"/>
    <s v="Mobile"/>
    <n v="8736"/>
    <n v="4410"/>
    <n v="80"/>
    <n v="20"/>
    <n v="42"/>
    <n v="4"/>
    <n v="1"/>
    <x v="0"/>
    <x v="6"/>
    <s v="Ahmedabad"/>
    <n v="7"/>
    <s v="NO"/>
    <n v="200"/>
  </r>
  <r>
    <s v="MSH00069"/>
    <x v="59"/>
    <s v="Earphones Wired"/>
    <x v="2"/>
    <x v="0"/>
    <s v="Audio"/>
    <n v="15067"/>
    <n v="9638"/>
    <n v="60"/>
    <n v="26"/>
    <n v="61"/>
    <n v="6"/>
    <n v="0"/>
    <x v="0"/>
    <x v="5"/>
    <s v="Chennai"/>
    <n v="4"/>
    <s v="YES"/>
    <n v="0"/>
  </r>
  <r>
    <s v="MSH00070"/>
    <x v="60"/>
    <s v="Wall Clock Wooden"/>
    <x v="7"/>
    <x v="0"/>
    <s v="Decor"/>
    <n v="23652"/>
    <n v="15228"/>
    <n v="40"/>
    <n v="62"/>
    <n v="54"/>
    <n v="6"/>
    <n v="2"/>
    <x v="0"/>
    <x v="3"/>
    <s v="Kolkata"/>
    <n v="8"/>
    <s v="YES"/>
    <n v="300"/>
  </r>
  <r>
    <s v="MSH00071"/>
    <x v="61"/>
    <s v="Sticky Notes 5Pack"/>
    <x v="4"/>
    <x v="1"/>
    <s v="Notes"/>
    <n v="69372"/>
    <n v="33276"/>
    <n v="70"/>
    <n v="32"/>
    <n v="188"/>
    <n v="15"/>
    <n v="8"/>
    <x v="0"/>
    <x v="0"/>
    <s v="Delhi"/>
    <n v="6"/>
    <s v="NO"/>
    <n v="0"/>
  </r>
  <r>
    <s v="MSH00072"/>
    <x v="62"/>
    <s v="Pop Socket Grip"/>
    <x v="2"/>
    <x v="1"/>
    <s v="Mobile"/>
    <n v="37000"/>
    <n v="19375"/>
    <n v="40"/>
    <n v="24"/>
    <n v="125"/>
    <n v="4"/>
    <n v="3"/>
    <x v="0"/>
    <x v="1"/>
    <s v="Patna"/>
    <n v="6"/>
    <s v="NO"/>
    <n v="500"/>
  </r>
  <r>
    <s v="MSH00073"/>
    <x v="63"/>
    <s v="Kajal Waterproof"/>
    <x v="6"/>
    <x v="0"/>
    <s v="Eyes"/>
    <n v="57230"/>
    <n v="33984"/>
    <n v="70"/>
    <n v="49"/>
    <n v="118"/>
    <n v="5"/>
    <n v="1"/>
    <x v="2"/>
    <x v="1"/>
    <s v="Patna"/>
    <n v="6"/>
    <s v="NO"/>
    <n v="500"/>
  </r>
  <r>
    <s v="MSH00074"/>
    <x v="64"/>
    <s v="Building Blocks"/>
    <x v="1"/>
    <x v="1"/>
    <s v="Educational"/>
    <n v="35554"/>
    <n v="22620"/>
    <n v="50"/>
    <n v="63"/>
    <n v="58"/>
    <n v="4"/>
    <n v="2"/>
    <x v="2"/>
    <x v="8"/>
    <s v="Bhopal"/>
    <n v="8"/>
    <s v="NO"/>
    <n v="500"/>
  </r>
  <r>
    <s v="MSH00075"/>
    <x v="65"/>
    <s v="Bed Sheet King"/>
    <x v="7"/>
    <x v="0"/>
    <s v="Bedding"/>
    <n v="51800"/>
    <n v="25375"/>
    <n v="40"/>
    <n v="27"/>
    <n v="175"/>
    <n v="14"/>
    <n v="7"/>
    <x v="0"/>
    <x v="9"/>
    <s v="Mumbai"/>
    <n v="6"/>
    <s v="NO"/>
    <n v="500"/>
  </r>
  <r>
    <s v="MSH00076"/>
    <x v="66"/>
    <s v="Earphones Wired"/>
    <x v="2"/>
    <x v="0"/>
    <s v="Audio"/>
    <n v="3683"/>
    <n v="1740"/>
    <n v="80"/>
    <n v="14"/>
    <n v="29"/>
    <n v="2"/>
    <n v="0"/>
    <x v="2"/>
    <x v="3"/>
    <s v="Kolkata"/>
    <n v="7"/>
    <s v="YES"/>
    <n v="750"/>
  </r>
  <r>
    <s v="MSH00077"/>
    <x v="67"/>
    <s v="Earrings Combo 5pc"/>
    <x v="5"/>
    <x v="1"/>
    <s v="Earrings"/>
    <n v="88638"/>
    <n v="43248"/>
    <n v="35"/>
    <n v="97"/>
    <n v="102"/>
    <n v="8"/>
    <n v="5"/>
    <x v="0"/>
    <x v="3"/>
    <s v="Kolkata"/>
    <n v="6"/>
    <s v="YES"/>
    <n v="200"/>
  </r>
  <r>
    <s v="MSH00078"/>
    <x v="68"/>
    <s v="Skipping Rope"/>
    <x v="3"/>
    <x v="0"/>
    <s v="Rope"/>
    <n v="69660"/>
    <n v="44820"/>
    <n v="35"/>
    <n v="52"/>
    <n v="180"/>
    <n v="2"/>
    <n v="5"/>
    <x v="0"/>
    <x v="7"/>
    <s v="Jaipur"/>
    <n v="8"/>
    <s v="NO"/>
    <n v="300"/>
  </r>
  <r>
    <s v="MSH00079"/>
    <x v="5"/>
    <s v="Palazzo Set"/>
    <x v="0"/>
    <x v="1"/>
    <s v="Women Ethnic"/>
    <n v="171892"/>
    <n v="92316"/>
    <n v="70"/>
    <n v="78"/>
    <n v="196"/>
    <n v="9"/>
    <n v="8"/>
    <x v="2"/>
    <x v="5"/>
    <s v="Chennai"/>
    <n v="3"/>
    <s v="NO"/>
    <n v="100"/>
  </r>
  <r>
    <s v="MSH00080"/>
    <x v="69"/>
    <s v="Leggings Pack of 3"/>
    <x v="0"/>
    <x v="0"/>
    <s v="Women Bottom"/>
    <n v="17800"/>
    <n v="8950"/>
    <n v="80"/>
    <n v="33"/>
    <n v="50"/>
    <n v="0"/>
    <n v="1"/>
    <x v="0"/>
    <x v="8"/>
    <s v="Bhopal"/>
    <n v="7"/>
    <s v="YES"/>
    <n v="0"/>
  </r>
  <r>
    <s v="MSH00081"/>
    <x v="70"/>
    <s v="Wall Clock Wooden"/>
    <x v="7"/>
    <x v="1"/>
    <s v="Decor"/>
    <n v="105516"/>
    <n v="51840"/>
    <n v="80"/>
    <n v="81"/>
    <n v="108"/>
    <n v="7"/>
    <n v="4"/>
    <x v="0"/>
    <x v="5"/>
    <s v="Chennai"/>
    <n v="4"/>
    <s v="NO"/>
    <n v="200"/>
  </r>
  <r>
    <s v="MSH00082"/>
    <x v="71"/>
    <s v="Face Wash 100ml"/>
    <x v="6"/>
    <x v="0"/>
    <s v="Skincare"/>
    <n v="29436"/>
    <n v="16962"/>
    <n v="70"/>
    <n v="66"/>
    <n v="66"/>
    <n v="2"/>
    <n v="2"/>
    <x v="0"/>
    <x v="5"/>
    <s v="Chennai"/>
    <n v="3"/>
    <s v="NO"/>
    <n v="500"/>
  </r>
  <r>
    <s v="MSH00083"/>
    <x v="17"/>
    <s v="Palazzo Set"/>
    <x v="0"/>
    <x v="1"/>
    <s v="Women Ethnic"/>
    <n v="28187"/>
    <n v="16330"/>
    <n v="70"/>
    <n v="34"/>
    <n v="71"/>
    <n v="5"/>
    <n v="0"/>
    <x v="0"/>
    <x v="5"/>
    <s v="Chennai"/>
    <n v="5"/>
    <s v="YES"/>
    <n v="750"/>
  </r>
  <r>
    <s v="MSH00084"/>
    <x v="59"/>
    <s v="Necklace Oxidised"/>
    <x v="5"/>
    <x v="0"/>
    <s v="Necklace"/>
    <n v="27350"/>
    <n v="18050"/>
    <n v="60"/>
    <n v="74"/>
    <n v="50"/>
    <n v="2"/>
    <n v="1"/>
    <x v="0"/>
    <x v="3"/>
    <s v="Kolkata"/>
    <n v="7"/>
    <s v="NO"/>
    <n v="1000"/>
  </r>
  <r>
    <s v="MSH00085"/>
    <x v="37"/>
    <s v="Bangles Set"/>
    <x v="5"/>
    <x v="1"/>
    <s v="Bangles"/>
    <n v="68992"/>
    <n v="41536"/>
    <n v="70"/>
    <n v="69"/>
    <n v="88"/>
    <n v="4"/>
    <n v="0"/>
    <x v="0"/>
    <x v="4"/>
    <s v="Bangalore"/>
    <n v="6"/>
    <s v="NO"/>
    <n v="750"/>
  </r>
  <r>
    <s v="MSH00086"/>
    <x v="72"/>
    <s v="Toy Car Set Kids"/>
    <x v="1"/>
    <x v="0"/>
    <s v="Vehicle"/>
    <n v="27664"/>
    <n v="14440"/>
    <n v="35"/>
    <n v="45"/>
    <n v="76"/>
    <n v="6"/>
    <n v="1"/>
    <x v="0"/>
    <x v="1"/>
    <s v="Patna"/>
    <n v="7"/>
    <s v="YES"/>
    <n v="500"/>
  </r>
  <r>
    <s v="MSH00087"/>
    <x v="73"/>
    <s v="Notebook A5 Pack"/>
    <x v="4"/>
    <x v="0"/>
    <s v="Notebook"/>
    <n v="14946"/>
    <n v="10388"/>
    <n v="55"/>
    <n v="19"/>
    <n v="106"/>
    <n v="5"/>
    <n v="1"/>
    <x v="0"/>
    <x v="9"/>
    <s v="Mumbai"/>
    <n v="3"/>
    <s v="YES"/>
    <n v="500"/>
  </r>
  <r>
    <s v="MSH00088"/>
    <x v="74"/>
    <s v="Kajal Waterproof"/>
    <x v="6"/>
    <x v="0"/>
    <s v="Eyes"/>
    <n v="83952"/>
    <n v="54780"/>
    <n v="40"/>
    <n v="83"/>
    <n v="132"/>
    <n v="9"/>
    <n v="1"/>
    <x v="0"/>
    <x v="8"/>
    <s v="Bhopal"/>
    <n v="5"/>
    <s v="NO"/>
    <n v="0"/>
  </r>
  <r>
    <s v="MSH00089"/>
    <x v="75"/>
    <s v="Phone Cover Printed"/>
    <x v="2"/>
    <x v="1"/>
    <s v="Mobile"/>
    <n v="88704"/>
    <n v="47817"/>
    <n v="35"/>
    <n v="126"/>
    <n v="99"/>
    <n v="1"/>
    <n v="2"/>
    <x v="0"/>
    <x v="6"/>
    <s v="Ahmedabad"/>
    <n v="5"/>
    <s v="NO"/>
    <n v="1000"/>
  </r>
  <r>
    <s v="MSH00090"/>
    <x v="76"/>
    <s v="Building Blocks"/>
    <x v="1"/>
    <x v="0"/>
    <s v="Educational"/>
    <n v="21243"/>
    <n v="9991"/>
    <n v="45"/>
    <n v="26"/>
    <n v="97"/>
    <n v="1"/>
    <n v="2"/>
    <x v="0"/>
    <x v="3"/>
    <s v="Kolkata"/>
    <n v="7"/>
    <s v="NO"/>
    <n v="300"/>
  </r>
  <r>
    <s v="MSH00091"/>
    <x v="43"/>
    <s v="Water Bottle 1L"/>
    <x v="3"/>
    <x v="1"/>
    <s v="Bottle"/>
    <n v="4234"/>
    <n v="2871"/>
    <n v="70"/>
    <n v="14"/>
    <n v="29"/>
    <n v="3"/>
    <n v="1"/>
    <x v="0"/>
    <x v="9"/>
    <s v="Mumbai"/>
    <n v="7"/>
    <s v="NO"/>
    <n v="0"/>
  </r>
  <r>
    <s v="MSH00092"/>
    <x v="77"/>
    <s v="Saree Cotton"/>
    <x v="0"/>
    <x v="0"/>
    <s v="Women Saree"/>
    <n v="180856"/>
    <n v="98700"/>
    <n v="35"/>
    <n v="118"/>
    <n v="188"/>
    <n v="11"/>
    <n v="5"/>
    <x v="1"/>
    <x v="5"/>
    <s v="Chennai"/>
    <n v="5"/>
    <s v="YES"/>
    <n v="100"/>
  </r>
  <r>
    <s v="MSH00093"/>
    <x v="78"/>
    <s v="Night Suit Women"/>
    <x v="0"/>
    <x v="1"/>
    <s v="Women Lounge"/>
    <n v="21789"/>
    <n v="11907"/>
    <n v="40"/>
    <n v="26"/>
    <n v="81"/>
    <n v="3"/>
    <n v="4"/>
    <x v="0"/>
    <x v="1"/>
    <s v="Patna"/>
    <n v="4"/>
    <s v="NO"/>
    <n v="200"/>
  </r>
  <r>
    <s v="MSH00094"/>
    <x v="79"/>
    <s v="Palazzo Set"/>
    <x v="0"/>
    <x v="0"/>
    <s v="Women Ethnic"/>
    <n v="27555"/>
    <n v="17270"/>
    <n v="55"/>
    <n v="71"/>
    <n v="55"/>
    <n v="1"/>
    <n v="1"/>
    <x v="0"/>
    <x v="0"/>
    <s v="Delhi"/>
    <n v="4"/>
    <s v="NO"/>
    <n v="0"/>
  </r>
  <r>
    <s v="MSH00095"/>
    <x v="80"/>
    <s v="Puzzle 100pc"/>
    <x v="1"/>
    <x v="1"/>
    <s v="Puzzle"/>
    <n v="17242"/>
    <n v="11988"/>
    <n v="45"/>
    <n v="57"/>
    <n v="37"/>
    <n v="2"/>
    <n v="1"/>
    <x v="2"/>
    <x v="6"/>
    <s v="Ahmedabad"/>
    <n v="7"/>
    <s v="NO"/>
    <n v="750"/>
  </r>
  <r>
    <s v="MSH00096"/>
    <x v="81"/>
    <s v="Face Wash 100ml"/>
    <x v="6"/>
    <x v="0"/>
    <s v="Skincare"/>
    <n v="48864"/>
    <n v="23568"/>
    <n v="45"/>
    <n v="136"/>
    <n v="48"/>
    <n v="4"/>
    <n v="0"/>
    <x v="1"/>
    <x v="7"/>
    <s v="Jaipur"/>
    <n v="4"/>
    <s v="YES"/>
    <n v="100"/>
  </r>
  <r>
    <s v="MSH00097"/>
    <x v="82"/>
    <s v="Building Blocks"/>
    <x v="1"/>
    <x v="1"/>
    <s v="Educational"/>
    <n v="16836"/>
    <n v="10212"/>
    <n v="55"/>
    <n v="16"/>
    <n v="92"/>
    <n v="8"/>
    <n v="0"/>
    <x v="2"/>
    <x v="9"/>
    <s v="Mumbai"/>
    <n v="8"/>
    <s v="NO"/>
    <n v="100"/>
  </r>
  <r>
    <s v="MSH00098"/>
    <x v="59"/>
    <s v="Men Casual Shirt"/>
    <x v="0"/>
    <x v="0"/>
    <s v="Men Top"/>
    <n v="27048"/>
    <n v="16583"/>
    <n v="55"/>
    <n v="21"/>
    <n v="161"/>
    <n v="19"/>
    <n v="0"/>
    <x v="0"/>
    <x v="3"/>
    <s v="Kolkata"/>
    <n v="4"/>
    <s v="NO"/>
    <n v="300"/>
  </r>
  <r>
    <s v="MSH00099"/>
    <x v="83"/>
    <s v="Saree Cotton"/>
    <x v="0"/>
    <x v="0"/>
    <s v="Women Saree"/>
    <n v="19890"/>
    <n v="11050"/>
    <n v="80"/>
    <n v="11"/>
    <n v="170"/>
    <n v="10"/>
    <n v="5"/>
    <x v="0"/>
    <x v="9"/>
    <s v="Mumbai"/>
    <n v="5"/>
    <s v="NO"/>
    <n v="750"/>
  </r>
  <r>
    <s v="MSH00100"/>
    <x v="81"/>
    <s v="Anklet Pair"/>
    <x v="5"/>
    <x v="1"/>
    <s v="Anklet"/>
    <n v="20792"/>
    <n v="10622"/>
    <n v="40"/>
    <n v="15"/>
    <n v="113"/>
    <n v="6"/>
    <n v="1"/>
    <x v="2"/>
    <x v="4"/>
    <s v="Bangalore"/>
    <n v="8"/>
    <s v="NO"/>
    <n v="500"/>
  </r>
  <r>
    <s v="MSH00101"/>
    <x v="84"/>
    <s v="Toy Car Set Kids"/>
    <x v="1"/>
    <x v="1"/>
    <s v="Vehicle"/>
    <n v="99648"/>
    <n v="57168"/>
    <n v="40"/>
    <n v="101"/>
    <n v="144"/>
    <n v="7"/>
    <n v="3"/>
    <x v="0"/>
    <x v="2"/>
    <s v="Lucknow"/>
    <n v="5"/>
    <s v="NO"/>
    <n v="0"/>
  </r>
  <r>
    <s v="MSH00102"/>
    <x v="85"/>
    <s v="Soft Toy Bear"/>
    <x v="1"/>
    <x v="0"/>
    <s v="Plush"/>
    <n v="21276"/>
    <n v="14256"/>
    <n v="60"/>
    <n v="26"/>
    <n v="108"/>
    <n v="6"/>
    <n v="0"/>
    <x v="0"/>
    <x v="5"/>
    <s v="Chennai"/>
    <n v="5"/>
    <s v="NO"/>
    <n v="500"/>
  </r>
  <r>
    <s v="MSH00103"/>
    <x v="86"/>
    <s v="Puzzle 100pc"/>
    <x v="1"/>
    <x v="1"/>
    <s v="Puzzle"/>
    <n v="94435"/>
    <n v="45349"/>
    <n v="40"/>
    <n v="101"/>
    <n v="101"/>
    <n v="5"/>
    <n v="1"/>
    <x v="2"/>
    <x v="2"/>
    <s v="Lucknow"/>
    <n v="3"/>
    <s v="NO"/>
    <n v="0"/>
  </r>
  <r>
    <s v="MSH00104"/>
    <x v="87"/>
    <s v="Building Blocks"/>
    <x v="1"/>
    <x v="0"/>
    <s v="Educational"/>
    <n v="26880"/>
    <n v="15552"/>
    <n v="60"/>
    <n v="41"/>
    <n v="96"/>
    <n v="6"/>
    <n v="4"/>
    <x v="0"/>
    <x v="5"/>
    <s v="Chennai"/>
    <n v="7"/>
    <s v="NO"/>
    <n v="500"/>
  </r>
  <r>
    <s v="MSH00105"/>
    <x v="88"/>
    <s v="Lipstick Set 6pc"/>
    <x v="6"/>
    <x v="0"/>
    <s v="Lips"/>
    <n v="88400"/>
    <n v="42200"/>
    <n v="70"/>
    <n v="53"/>
    <n v="200"/>
    <n v="0"/>
    <n v="9"/>
    <x v="2"/>
    <x v="2"/>
    <s v="Lucknow"/>
    <n v="7"/>
    <s v="NO"/>
    <n v="200"/>
  </r>
  <r>
    <s v="MSH00106"/>
    <x v="89"/>
    <s v="Bed Sheet King"/>
    <x v="7"/>
    <x v="1"/>
    <s v="Bedding"/>
    <n v="35306"/>
    <n v="24257"/>
    <n v="40"/>
    <n v="26"/>
    <n v="127"/>
    <n v="13"/>
    <n v="1"/>
    <x v="2"/>
    <x v="5"/>
    <s v="Chennai"/>
    <n v="7"/>
    <s v="NO"/>
    <n v="750"/>
  </r>
  <r>
    <s v="MSH00107"/>
    <x v="90"/>
    <s v="Building Blocks"/>
    <x v="1"/>
    <x v="0"/>
    <s v="Educational"/>
    <n v="37229"/>
    <n v="22892"/>
    <n v="70"/>
    <n v="64"/>
    <n v="59"/>
    <n v="5"/>
    <n v="2"/>
    <x v="0"/>
    <x v="0"/>
    <s v="Delhi"/>
    <n v="4"/>
    <s v="NO"/>
    <n v="1000"/>
  </r>
  <r>
    <s v="MSH00108"/>
    <x v="91"/>
    <s v="Pop Socket Grip"/>
    <x v="2"/>
    <x v="1"/>
    <s v="Mobile"/>
    <n v="71839"/>
    <n v="41193"/>
    <n v="80"/>
    <n v="38"/>
    <n v="199"/>
    <n v="9"/>
    <n v="1"/>
    <x v="0"/>
    <x v="8"/>
    <s v="Bhopal"/>
    <n v="4"/>
    <s v="NO"/>
    <n v="750"/>
  </r>
  <r>
    <s v="MSH00109"/>
    <x v="23"/>
    <s v="Water Bottle 1L"/>
    <x v="3"/>
    <x v="0"/>
    <s v="Bottle"/>
    <n v="77364"/>
    <n v="44100"/>
    <n v="50"/>
    <n v="127"/>
    <n v="84"/>
    <n v="4"/>
    <n v="1"/>
    <x v="2"/>
    <x v="2"/>
    <s v="Lucknow"/>
    <n v="8"/>
    <s v="NO"/>
    <n v="200"/>
  </r>
  <r>
    <s v="MSH00110"/>
    <x v="92"/>
    <s v="Denim Jeans Men"/>
    <x v="0"/>
    <x v="1"/>
    <s v="Men Bottom"/>
    <n v="79050"/>
    <n v="37510"/>
    <n v="45"/>
    <n v="41"/>
    <n v="155"/>
    <n v="13"/>
    <n v="7"/>
    <x v="0"/>
    <x v="8"/>
    <s v="Bhopal"/>
    <n v="5"/>
    <s v="NO"/>
    <n v="300"/>
  </r>
  <r>
    <s v="MSH00111"/>
    <x v="93"/>
    <s v="Soft Toy Bear"/>
    <x v="1"/>
    <x v="0"/>
    <s v="Plush"/>
    <n v="30276"/>
    <n v="19952"/>
    <n v="35"/>
    <n v="39"/>
    <n v="116"/>
    <n v="2"/>
    <n v="5"/>
    <x v="0"/>
    <x v="2"/>
    <s v="Lucknow"/>
    <n v="5"/>
    <s v="NO"/>
    <n v="0"/>
  </r>
  <r>
    <s v="MSH00112"/>
    <x v="94"/>
    <s v="USB Cable 3in1"/>
    <x v="2"/>
    <x v="1"/>
    <s v="Cable"/>
    <n v="137752"/>
    <n v="79060"/>
    <n v="45"/>
    <n v="143"/>
    <n v="134"/>
    <n v="6"/>
    <n v="6"/>
    <x v="2"/>
    <x v="3"/>
    <s v="Kolkata"/>
    <n v="8"/>
    <s v="NO"/>
    <n v="100"/>
  </r>
  <r>
    <s v="MSH00113"/>
    <x v="95"/>
    <s v="Resistance Band Set"/>
    <x v="3"/>
    <x v="0"/>
    <s v="Band"/>
    <n v="136218"/>
    <n v="67890"/>
    <n v="70"/>
    <n v="129"/>
    <n v="146"/>
    <n v="2"/>
    <n v="6"/>
    <x v="2"/>
    <x v="9"/>
    <s v="Mumbai"/>
    <n v="6"/>
    <s v="YES"/>
    <n v="100"/>
  </r>
  <r>
    <s v="MSH00114"/>
    <x v="77"/>
    <s v="Notebook A5 Pack"/>
    <x v="4"/>
    <x v="1"/>
    <s v="Notebook"/>
    <n v="106904"/>
    <n v="73577"/>
    <n v="55"/>
    <n v="80"/>
    <n v="161"/>
    <n v="8"/>
    <n v="5"/>
    <x v="2"/>
    <x v="1"/>
    <s v="Patna"/>
    <n v="6"/>
    <s v="NO"/>
    <n v="0"/>
  </r>
  <r>
    <s v="MSH00115"/>
    <x v="96"/>
    <s v="Night Suit Women"/>
    <x v="0"/>
    <x v="0"/>
    <s v="Women Lounge"/>
    <n v="50304"/>
    <n v="25414"/>
    <n v="45"/>
    <n v="44"/>
    <n v="131"/>
    <n v="11"/>
    <n v="3"/>
    <x v="0"/>
    <x v="0"/>
    <s v="Delhi"/>
    <n v="8"/>
    <s v="NO"/>
    <n v="200"/>
  </r>
  <r>
    <s v="MSH00116"/>
    <x v="97"/>
    <s v="Building Blocks"/>
    <x v="1"/>
    <x v="0"/>
    <s v="Educational"/>
    <n v="57312"/>
    <n v="33840"/>
    <n v="35"/>
    <n v="55"/>
    <n v="144"/>
    <n v="17"/>
    <n v="2"/>
    <x v="2"/>
    <x v="1"/>
    <s v="Patna"/>
    <n v="8"/>
    <s v="NO"/>
    <n v="1000"/>
  </r>
  <r>
    <s v="MSH00117"/>
    <x v="98"/>
    <s v="Palazzo Set"/>
    <x v="0"/>
    <x v="0"/>
    <s v="Women Ethnic"/>
    <n v="19604"/>
    <n v="11049"/>
    <n v="70"/>
    <n v="76"/>
    <n v="29"/>
    <n v="3"/>
    <n v="1"/>
    <x v="2"/>
    <x v="7"/>
    <s v="Jaipur"/>
    <n v="3"/>
    <s v="YES"/>
    <n v="750"/>
  </r>
  <r>
    <s v="MSH00118"/>
    <x v="99"/>
    <s v="Men Casual Shirt"/>
    <x v="0"/>
    <x v="1"/>
    <s v="Men Top"/>
    <n v="16224"/>
    <n v="9504"/>
    <n v="35"/>
    <n v="74"/>
    <n v="32"/>
    <n v="0"/>
    <n v="1"/>
    <x v="0"/>
    <x v="6"/>
    <s v="Ahmedabad"/>
    <n v="5"/>
    <s v="NO"/>
    <n v="100"/>
  </r>
  <r>
    <s v="MSH00119"/>
    <x v="79"/>
    <s v="Palazzo Set"/>
    <x v="0"/>
    <x v="0"/>
    <s v="Women Ethnic"/>
    <n v="175104"/>
    <n v="84664"/>
    <n v="60"/>
    <n v="102"/>
    <n v="152"/>
    <n v="16"/>
    <n v="2"/>
    <x v="2"/>
    <x v="2"/>
    <s v="Lucknow"/>
    <n v="5"/>
    <s v="NO"/>
    <n v="0"/>
  </r>
  <r>
    <s v="MSH00120"/>
    <x v="3"/>
    <s v="Soft Toy Bear"/>
    <x v="1"/>
    <x v="1"/>
    <s v="Plush"/>
    <n v="61000"/>
    <n v="32800"/>
    <n v="55"/>
    <n v="28"/>
    <n v="200"/>
    <n v="1"/>
    <n v="10"/>
    <x v="0"/>
    <x v="0"/>
    <s v="Delhi"/>
    <n v="3"/>
    <s v="YES"/>
    <n v="200"/>
  </r>
  <r>
    <s v="MSH00121"/>
    <x v="100"/>
    <s v="Kids Frock"/>
    <x v="0"/>
    <x v="0"/>
    <s v="Kids Girls"/>
    <n v="3741"/>
    <n v="1914"/>
    <n v="50"/>
    <n v="17"/>
    <n v="29"/>
    <n v="2"/>
    <n v="0"/>
    <x v="2"/>
    <x v="0"/>
    <s v="Delhi"/>
    <n v="5"/>
    <s v="NO"/>
    <n v="500"/>
  </r>
  <r>
    <s v="MSH00122"/>
    <x v="101"/>
    <s v="Sticky Notes 5Pack"/>
    <x v="4"/>
    <x v="1"/>
    <s v="Notes"/>
    <n v="42036"/>
    <n v="28892"/>
    <n v="45"/>
    <n v="42"/>
    <n v="124"/>
    <n v="7"/>
    <n v="0"/>
    <x v="1"/>
    <x v="6"/>
    <s v="Ahmedabad"/>
    <n v="6"/>
    <s v="NO"/>
    <n v="500"/>
  </r>
  <r>
    <s v="MSH00123"/>
    <x v="30"/>
    <s v="Soft Toy Bear"/>
    <x v="1"/>
    <x v="0"/>
    <s v="Plush"/>
    <n v="11020"/>
    <n v="5800"/>
    <n v="45"/>
    <n v="52"/>
    <n v="29"/>
    <n v="3"/>
    <n v="1"/>
    <x v="1"/>
    <x v="0"/>
    <s v="Delhi"/>
    <n v="5"/>
    <s v="NO"/>
    <n v="750"/>
  </r>
  <r>
    <s v="MSH00124"/>
    <x v="102"/>
    <s v="Skipping Rope"/>
    <x v="3"/>
    <x v="1"/>
    <s v="Rope"/>
    <n v="123370"/>
    <n v="61347"/>
    <n v="55"/>
    <n v="78"/>
    <n v="169"/>
    <n v="1"/>
    <n v="1"/>
    <x v="0"/>
    <x v="0"/>
    <s v="Delhi"/>
    <n v="5"/>
    <s v="NO"/>
    <n v="1000"/>
  </r>
  <r>
    <s v="MSH00125"/>
    <x v="103"/>
    <s v="Night Suit Women"/>
    <x v="0"/>
    <x v="0"/>
    <s v="Women Lounge"/>
    <n v="56316"/>
    <n v="35256"/>
    <n v="70"/>
    <n v="52"/>
    <n v="156"/>
    <n v="9"/>
    <n v="6"/>
    <x v="0"/>
    <x v="7"/>
    <s v="Jaipur"/>
    <n v="5"/>
    <s v="NO"/>
    <n v="300"/>
  </r>
  <r>
    <s v="MSH00126"/>
    <x v="104"/>
    <s v="Lipstick Set 6pc"/>
    <x v="6"/>
    <x v="1"/>
    <s v="Lips"/>
    <n v="6099"/>
    <n v="3382"/>
    <n v="50"/>
    <n v="42"/>
    <n v="19"/>
    <n v="2"/>
    <n v="1"/>
    <x v="0"/>
    <x v="8"/>
    <s v="Bhopal"/>
    <n v="4"/>
    <s v="NO"/>
    <n v="200"/>
  </r>
  <r>
    <s v="MSH00127"/>
    <x v="105"/>
    <s v="Puzzle 100pc"/>
    <x v="1"/>
    <x v="0"/>
    <s v="Puzzle"/>
    <n v="170229"/>
    <n v="109011"/>
    <n v="80"/>
    <n v="140"/>
    <n v="179"/>
    <n v="14"/>
    <n v="2"/>
    <x v="0"/>
    <x v="9"/>
    <s v="Mumbai"/>
    <n v="8"/>
    <s v="NO"/>
    <n v="100"/>
  </r>
  <r>
    <s v="MSH00128"/>
    <x v="49"/>
    <s v="Building Blocks"/>
    <x v="1"/>
    <x v="0"/>
    <s v="Educational"/>
    <n v="41360"/>
    <n v="25520"/>
    <n v="35"/>
    <n v="26"/>
    <n v="176"/>
    <n v="2"/>
    <n v="2"/>
    <x v="2"/>
    <x v="8"/>
    <s v="Bhopal"/>
    <n v="3"/>
    <s v="NO"/>
    <n v="1000"/>
  </r>
  <r>
    <s v="MSH00129"/>
    <x v="88"/>
    <s v="Nail Polish 12pc"/>
    <x v="6"/>
    <x v="1"/>
    <s v="Nails"/>
    <n v="11560"/>
    <n v="6375"/>
    <n v="35"/>
    <n v="16"/>
    <n v="85"/>
    <n v="4"/>
    <n v="0"/>
    <x v="2"/>
    <x v="1"/>
    <s v="Patna"/>
    <n v="3"/>
    <s v="NO"/>
    <n v="100"/>
  </r>
  <r>
    <s v="MSH00130"/>
    <x v="106"/>
    <s v="Building Blocks"/>
    <x v="1"/>
    <x v="1"/>
    <s v="Educational"/>
    <n v="56892"/>
    <n v="31284"/>
    <n v="60"/>
    <n v="63"/>
    <n v="132"/>
    <n v="7"/>
    <n v="5"/>
    <x v="0"/>
    <x v="2"/>
    <s v="Lucknow"/>
    <n v="3"/>
    <s v="NO"/>
    <n v="0"/>
  </r>
  <r>
    <s v="MSH00131"/>
    <x v="36"/>
    <s v="Kids Frock"/>
    <x v="0"/>
    <x v="0"/>
    <s v="Kids Girls"/>
    <n v="14256"/>
    <n v="6732"/>
    <n v="70"/>
    <n v="18"/>
    <n v="99"/>
    <n v="1"/>
    <n v="4"/>
    <x v="0"/>
    <x v="4"/>
    <s v="Bangalore"/>
    <n v="6"/>
    <s v="NO"/>
    <n v="200"/>
  </r>
  <r>
    <s v="MSH00132"/>
    <x v="107"/>
    <s v="Soft Toy Bear"/>
    <x v="1"/>
    <x v="1"/>
    <s v="Plush"/>
    <n v="56916"/>
    <n v="38828"/>
    <n v="60"/>
    <n v="68"/>
    <n v="68"/>
    <n v="2"/>
    <n v="3"/>
    <x v="0"/>
    <x v="4"/>
    <s v="Bangalore"/>
    <n v="4"/>
    <s v="NO"/>
    <n v="100"/>
  </r>
  <r>
    <s v="MSH00133"/>
    <x v="108"/>
    <s v="Notebook A5 Pack"/>
    <x v="4"/>
    <x v="0"/>
    <s v="Notebook"/>
    <n v="14948"/>
    <n v="10360"/>
    <n v="35"/>
    <n v="18"/>
    <n v="74"/>
    <n v="5"/>
    <n v="3"/>
    <x v="2"/>
    <x v="7"/>
    <s v="Jaipur"/>
    <n v="6"/>
    <s v="NO"/>
    <n v="0"/>
  </r>
  <r>
    <s v="MSH00134"/>
    <x v="109"/>
    <s v="File Folder Set"/>
    <x v="4"/>
    <x v="0"/>
    <s v="Folder"/>
    <n v="205668"/>
    <n v="112093"/>
    <n v="55"/>
    <n v="142"/>
    <n v="197"/>
    <n v="2"/>
    <n v="4"/>
    <x v="0"/>
    <x v="6"/>
    <s v="Ahmedabad"/>
    <n v="5"/>
    <s v="NO"/>
    <n v="100"/>
  </r>
  <r>
    <s v="MSH00135"/>
    <x v="110"/>
    <s v="Pop Socket Grip"/>
    <x v="2"/>
    <x v="1"/>
    <s v="Mobile"/>
    <n v="66693"/>
    <n v="31734"/>
    <n v="40"/>
    <n v="48"/>
    <n v="129"/>
    <n v="13"/>
    <n v="0"/>
    <x v="0"/>
    <x v="5"/>
    <s v="Chennai"/>
    <n v="3"/>
    <s v="YES"/>
    <n v="500"/>
  </r>
  <r>
    <s v="MSH00136"/>
    <x v="111"/>
    <s v="Anarkali Kurti"/>
    <x v="0"/>
    <x v="0"/>
    <s v="Women Ethnic"/>
    <n v="29986"/>
    <n v="14152"/>
    <n v="50"/>
    <n v="62"/>
    <n v="58"/>
    <n v="1"/>
    <n v="0"/>
    <x v="2"/>
    <x v="3"/>
    <s v="Kolkata"/>
    <n v="4"/>
    <s v="NO"/>
    <n v="300"/>
  </r>
  <r>
    <s v="MSH00137"/>
    <x v="101"/>
    <s v="Sticky Notes 5Pack"/>
    <x v="4"/>
    <x v="1"/>
    <s v="Notes"/>
    <n v="94470"/>
    <n v="51042"/>
    <n v="50"/>
    <n v="87"/>
    <n v="141"/>
    <n v="6"/>
    <n v="7"/>
    <x v="0"/>
    <x v="2"/>
    <s v="Lucknow"/>
    <n v="6"/>
    <s v="NO"/>
    <n v="300"/>
  </r>
  <r>
    <s v="MSH00138"/>
    <x v="112"/>
    <s v="Face Wash 100ml"/>
    <x v="6"/>
    <x v="0"/>
    <s v="Skincare"/>
    <n v="101738"/>
    <n v="67600"/>
    <n v="45"/>
    <n v="61"/>
    <n v="169"/>
    <n v="15"/>
    <n v="5"/>
    <x v="2"/>
    <x v="7"/>
    <s v="Jaipur"/>
    <n v="8"/>
    <s v="NO"/>
    <n v="500"/>
  </r>
  <r>
    <s v="MSH00139"/>
    <x v="113"/>
    <s v="Yoga Mat 6mm"/>
    <x v="3"/>
    <x v="1"/>
    <s v="Mat"/>
    <n v="29832"/>
    <n v="16368"/>
    <n v="40"/>
    <n v="66"/>
    <n v="66"/>
    <n v="2"/>
    <n v="0"/>
    <x v="0"/>
    <x v="3"/>
    <s v="Kolkata"/>
    <n v="5"/>
    <s v="NO"/>
    <n v="200"/>
  </r>
  <r>
    <s v="MSH00140"/>
    <x v="114"/>
    <s v="Kitchen Organizer"/>
    <x v="7"/>
    <x v="0"/>
    <s v="Storage"/>
    <n v="12078"/>
    <n v="7425"/>
    <n v="70"/>
    <n v="49"/>
    <n v="33"/>
    <n v="3"/>
    <n v="1"/>
    <x v="0"/>
    <x v="8"/>
    <s v="Bhopal"/>
    <n v="8"/>
    <s v="NO"/>
    <n v="0"/>
  </r>
  <r>
    <s v="MSH00141"/>
    <x v="115"/>
    <s v="Anklet Pair"/>
    <x v="5"/>
    <x v="1"/>
    <s v="Anklet"/>
    <n v="172260"/>
    <n v="105300"/>
    <n v="35"/>
    <n v="114"/>
    <n v="180"/>
    <n v="12"/>
    <n v="5"/>
    <x v="2"/>
    <x v="2"/>
    <s v="Lucknow"/>
    <n v="3"/>
    <s v="NO"/>
    <n v="0"/>
  </r>
  <r>
    <s v="MSH00142"/>
    <x v="116"/>
    <s v="Face Wash 100ml"/>
    <x v="6"/>
    <x v="0"/>
    <s v="Skincare"/>
    <n v="11172"/>
    <n v="6930"/>
    <n v="45"/>
    <n v="55"/>
    <n v="21"/>
    <n v="0"/>
    <n v="1"/>
    <x v="1"/>
    <x v="9"/>
    <s v="Mumbai"/>
    <n v="5"/>
    <s v="YES"/>
    <n v="0"/>
  </r>
  <r>
    <s v="MSH00143"/>
    <x v="35"/>
    <s v="Building Blocks"/>
    <x v="1"/>
    <x v="1"/>
    <s v="Educational"/>
    <n v="42588"/>
    <n v="23842"/>
    <n v="80"/>
    <n v="48"/>
    <n v="91"/>
    <n v="1"/>
    <n v="0"/>
    <x v="0"/>
    <x v="9"/>
    <s v="Mumbai"/>
    <n v="8"/>
    <s v="NO"/>
    <n v="0"/>
  </r>
  <r>
    <s v="MSH00144"/>
    <x v="117"/>
    <s v="Resistance Band Set"/>
    <x v="3"/>
    <x v="0"/>
    <s v="Band"/>
    <n v="39122"/>
    <n v="19902"/>
    <n v="70"/>
    <n v="78"/>
    <n v="62"/>
    <n v="6"/>
    <n v="3"/>
    <x v="0"/>
    <x v="4"/>
    <s v="Bangalore"/>
    <n v="6"/>
    <s v="NO"/>
    <n v="1000"/>
  </r>
  <r>
    <s v="MSH00145"/>
    <x v="97"/>
    <s v="Earphones Wired"/>
    <x v="2"/>
    <x v="0"/>
    <s v="Audio"/>
    <n v="13520"/>
    <n v="8775"/>
    <n v="45"/>
    <n v="22"/>
    <n v="65"/>
    <n v="1"/>
    <n v="2"/>
    <x v="0"/>
    <x v="4"/>
    <s v="Bangalore"/>
    <n v="6"/>
    <s v="NO"/>
    <n v="500"/>
  </r>
  <r>
    <s v="MSH00146"/>
    <x v="28"/>
    <s v="Water Bottle 1L"/>
    <x v="3"/>
    <x v="0"/>
    <s v="Bottle"/>
    <n v="105078"/>
    <n v="68724"/>
    <n v="55"/>
    <n v="91"/>
    <n v="166"/>
    <n v="4"/>
    <n v="5"/>
    <x v="2"/>
    <x v="1"/>
    <s v="Patna"/>
    <n v="4"/>
    <s v="NO"/>
    <n v="300"/>
  </r>
  <r>
    <s v="MSH00147"/>
    <x v="118"/>
    <s v="Sticky Notes 5Pack"/>
    <x v="4"/>
    <x v="1"/>
    <s v="Notes"/>
    <n v="53184"/>
    <n v="29568"/>
    <n v="80"/>
    <n v="34"/>
    <n v="192"/>
    <n v="5"/>
    <n v="8"/>
    <x v="0"/>
    <x v="9"/>
    <s v="Mumbai"/>
    <n v="4"/>
    <s v="NO"/>
    <n v="300"/>
  </r>
  <r>
    <s v="MSH00148"/>
    <x v="85"/>
    <s v="Water Bottle 1L"/>
    <x v="3"/>
    <x v="0"/>
    <s v="Bottle"/>
    <n v="73500"/>
    <n v="48020"/>
    <n v="80"/>
    <n v="57"/>
    <n v="140"/>
    <n v="14"/>
    <n v="7"/>
    <x v="1"/>
    <x v="0"/>
    <s v="Delhi"/>
    <n v="5"/>
    <s v="YES"/>
    <n v="0"/>
  </r>
  <r>
    <s v="MSH00149"/>
    <x v="119"/>
    <s v="Wall Clock Wooden"/>
    <x v="7"/>
    <x v="1"/>
    <s v="Decor"/>
    <n v="79348"/>
    <n v="50879"/>
    <n v="40"/>
    <n v="115"/>
    <n v="83"/>
    <n v="5"/>
    <n v="4"/>
    <x v="0"/>
    <x v="5"/>
    <s v="Chennai"/>
    <n v="4"/>
    <s v="YES"/>
    <n v="1000"/>
  </r>
  <r>
    <s v="MSH00150"/>
    <x v="120"/>
    <s v="Men Casual Shirt"/>
    <x v="0"/>
    <x v="0"/>
    <s v="Men Top"/>
    <n v="17190"/>
    <n v="11250"/>
    <n v="80"/>
    <n v="54"/>
    <n v="45"/>
    <n v="1"/>
    <n v="2"/>
    <x v="2"/>
    <x v="9"/>
    <s v="Mumbai"/>
    <n v="7"/>
    <s v="NO"/>
    <n v="750"/>
  </r>
  <r>
    <s v="MSH00151"/>
    <x v="121"/>
    <s v="Water Bottle 1L"/>
    <x v="3"/>
    <x v="1"/>
    <s v="Bottle"/>
    <n v="34777"/>
    <n v="17098"/>
    <n v="55"/>
    <n v="42"/>
    <n v="83"/>
    <n v="1"/>
    <n v="1"/>
    <x v="2"/>
    <x v="7"/>
    <s v="Jaipur"/>
    <n v="8"/>
    <s v="NO"/>
    <n v="0"/>
  </r>
  <r>
    <s v="MSH00152"/>
    <x v="122"/>
    <s v="Bed Sheet King"/>
    <x v="7"/>
    <x v="0"/>
    <s v="Bedding"/>
    <n v="85698"/>
    <n v="54918"/>
    <n v="70"/>
    <n v="60"/>
    <n v="162"/>
    <n v="8"/>
    <n v="6"/>
    <x v="2"/>
    <x v="1"/>
    <s v="Patna"/>
    <n v="6"/>
    <s v="NO"/>
    <n v="0"/>
  </r>
  <r>
    <s v="MSH00153"/>
    <x v="123"/>
    <s v="Kajal Waterproof"/>
    <x v="6"/>
    <x v="1"/>
    <s v="Eyes"/>
    <n v="64152"/>
    <n v="42768"/>
    <n v="40"/>
    <n v="64"/>
    <n v="132"/>
    <n v="11"/>
    <n v="6"/>
    <x v="1"/>
    <x v="6"/>
    <s v="Ahmedabad"/>
    <n v="4"/>
    <s v="NO"/>
    <n v="200"/>
  </r>
  <r>
    <s v="MSH00154"/>
    <x v="124"/>
    <s v="Resistance Band Set"/>
    <x v="3"/>
    <x v="0"/>
    <s v="Band"/>
    <n v="20439"/>
    <n v="13554"/>
    <n v="60"/>
    <n v="108"/>
    <n v="27"/>
    <n v="0"/>
    <n v="1"/>
    <x v="0"/>
    <x v="3"/>
    <s v="Kolkata"/>
    <n v="6"/>
    <s v="YES"/>
    <n v="100"/>
  </r>
  <r>
    <s v="MSH00155"/>
    <x v="19"/>
    <s v="Pop Socket Grip"/>
    <x v="2"/>
    <x v="1"/>
    <s v="Mobile"/>
    <n v="62083"/>
    <n v="33485"/>
    <n v="40"/>
    <n v="36"/>
    <n v="181"/>
    <n v="1"/>
    <n v="6"/>
    <x v="2"/>
    <x v="6"/>
    <s v="Ahmedabad"/>
    <n v="8"/>
    <s v="NO"/>
    <n v="200"/>
  </r>
  <r>
    <s v="MSH00156"/>
    <x v="125"/>
    <s v="Bangles Set"/>
    <x v="5"/>
    <x v="0"/>
    <s v="Bangles"/>
    <n v="33582"/>
    <n v="16984"/>
    <n v="80"/>
    <n v="14"/>
    <n v="193"/>
    <n v="3"/>
    <n v="6"/>
    <x v="0"/>
    <x v="1"/>
    <s v="Patna"/>
    <n v="4"/>
    <s v="NO"/>
    <n v="1000"/>
  </r>
  <r>
    <s v="MSH00157"/>
    <x v="126"/>
    <s v="Yoga Mat 6mm"/>
    <x v="3"/>
    <x v="0"/>
    <s v="Mat"/>
    <n v="65800"/>
    <n v="42300"/>
    <n v="45"/>
    <n v="44"/>
    <n v="188"/>
    <n v="2"/>
    <n v="8"/>
    <x v="2"/>
    <x v="3"/>
    <s v="Kolkata"/>
    <n v="5"/>
    <s v="YES"/>
    <n v="100"/>
  </r>
  <r>
    <s v="MSH00158"/>
    <x v="53"/>
    <s v="Face Wash 100ml"/>
    <x v="6"/>
    <x v="1"/>
    <s v="Skincare"/>
    <n v="26103"/>
    <n v="12656"/>
    <n v="40"/>
    <n v="28"/>
    <n v="113"/>
    <n v="6"/>
    <n v="2"/>
    <x v="2"/>
    <x v="7"/>
    <s v="Jaipur"/>
    <n v="8"/>
    <s v="NO"/>
    <n v="200"/>
  </r>
  <r>
    <s v="MSH00159"/>
    <x v="127"/>
    <s v="Leggings Pack of 3"/>
    <x v="0"/>
    <x v="1"/>
    <s v="Women Bottom"/>
    <n v="32400"/>
    <n v="19530"/>
    <n v="50"/>
    <n v="48"/>
    <n v="90"/>
    <n v="0"/>
    <n v="1"/>
    <x v="0"/>
    <x v="0"/>
    <s v="Delhi"/>
    <n v="6"/>
    <s v="NO"/>
    <n v="0"/>
  </r>
  <r>
    <s v="MSH00160"/>
    <x v="128"/>
    <s v="Skipping Rope"/>
    <x v="3"/>
    <x v="0"/>
    <s v="Rope"/>
    <n v="48762"/>
    <n v="32130"/>
    <n v="70"/>
    <n v="27"/>
    <n v="189"/>
    <n v="15"/>
    <n v="1"/>
    <x v="0"/>
    <x v="7"/>
    <s v="Jaipur"/>
    <n v="4"/>
    <s v="YES"/>
    <n v="0"/>
  </r>
  <r>
    <s v="MSH00161"/>
    <x v="129"/>
    <s v="Toy Car Set Kids"/>
    <x v="1"/>
    <x v="1"/>
    <s v="Vehicle"/>
    <n v="54520"/>
    <n v="25662"/>
    <n v="45"/>
    <n v="58"/>
    <n v="94"/>
    <n v="8"/>
    <n v="1"/>
    <x v="2"/>
    <x v="6"/>
    <s v="Ahmedabad"/>
    <n v="7"/>
    <s v="NO"/>
    <n v="500"/>
  </r>
  <r>
    <s v="MSH00162"/>
    <x v="130"/>
    <s v="File Folder Set"/>
    <x v="4"/>
    <x v="0"/>
    <s v="Folder"/>
    <n v="20740"/>
    <n v="14110"/>
    <n v="40"/>
    <n v="14"/>
    <n v="170"/>
    <n v="9"/>
    <n v="2"/>
    <x v="1"/>
    <x v="2"/>
    <s v="Lucknow"/>
    <n v="4"/>
    <s v="YES"/>
    <n v="100"/>
  </r>
  <r>
    <s v="MSH00163"/>
    <x v="68"/>
    <s v="Wall Clock Wooden"/>
    <x v="7"/>
    <x v="0"/>
    <s v="Decor"/>
    <n v="6468"/>
    <n v="4312"/>
    <n v="40"/>
    <n v="39"/>
    <n v="22"/>
    <n v="1"/>
    <n v="1"/>
    <x v="0"/>
    <x v="4"/>
    <s v="Bangalore"/>
    <n v="8"/>
    <s v="YES"/>
    <n v="300"/>
  </r>
  <r>
    <s v="MSH00164"/>
    <x v="131"/>
    <s v="Kids Frock"/>
    <x v="0"/>
    <x v="1"/>
    <s v="Kids Girls"/>
    <n v="143803"/>
    <n v="70312"/>
    <n v="40"/>
    <n v="110"/>
    <n v="187"/>
    <n v="7"/>
    <n v="8"/>
    <x v="1"/>
    <x v="0"/>
    <s v="Delhi"/>
    <n v="3"/>
    <s v="YES"/>
    <n v="0"/>
  </r>
  <r>
    <s v="MSH00165"/>
    <x v="75"/>
    <s v="Curtain Set 2pc"/>
    <x v="7"/>
    <x v="0"/>
    <s v="Window"/>
    <n v="58500"/>
    <n v="36738"/>
    <n v="70"/>
    <n v="72"/>
    <n v="78"/>
    <n v="5"/>
    <n v="2"/>
    <x v="0"/>
    <x v="1"/>
    <s v="Patna"/>
    <n v="7"/>
    <s v="YES"/>
    <n v="500"/>
  </r>
  <r>
    <s v="MSH00166"/>
    <x v="132"/>
    <s v="Building Blocks"/>
    <x v="1"/>
    <x v="1"/>
    <s v="Educational"/>
    <n v="42582"/>
    <n v="24158"/>
    <n v="55"/>
    <n v="61"/>
    <n v="94"/>
    <n v="1"/>
    <n v="4"/>
    <x v="1"/>
    <x v="0"/>
    <s v="Delhi"/>
    <n v="5"/>
    <s v="YES"/>
    <n v="500"/>
  </r>
  <r>
    <s v="MSH00167"/>
    <x v="126"/>
    <s v="Kajal Waterproof"/>
    <x v="6"/>
    <x v="0"/>
    <s v="Eyes"/>
    <n v="158620"/>
    <n v="110880"/>
    <n v="50"/>
    <n v="135"/>
    <n v="154"/>
    <n v="4"/>
    <n v="0"/>
    <x v="2"/>
    <x v="5"/>
    <s v="Chennai"/>
    <n v="5"/>
    <s v="YES"/>
    <n v="200"/>
  </r>
  <r>
    <s v="MSH00168"/>
    <x v="115"/>
    <s v="Anarkali Kurti"/>
    <x v="0"/>
    <x v="1"/>
    <s v="Women Ethnic"/>
    <n v="45675"/>
    <n v="28875"/>
    <n v="40"/>
    <n v="57"/>
    <n v="75"/>
    <n v="7"/>
    <n v="0"/>
    <x v="0"/>
    <x v="2"/>
    <s v="Lucknow"/>
    <n v="4"/>
    <s v="NO"/>
    <n v="0"/>
  </r>
  <r>
    <s v="MSH00169"/>
    <x v="133"/>
    <s v="Palazzo Set"/>
    <x v="0"/>
    <x v="0"/>
    <s v="Women Ethnic"/>
    <n v="32320"/>
    <n v="19680"/>
    <n v="70"/>
    <n v="17"/>
    <n v="160"/>
    <n v="13"/>
    <n v="2"/>
    <x v="2"/>
    <x v="8"/>
    <s v="Bhopal"/>
    <n v="6"/>
    <s v="NO"/>
    <n v="300"/>
  </r>
  <r>
    <s v="MSH00170"/>
    <x v="61"/>
    <s v="Face Wash 100ml"/>
    <x v="6"/>
    <x v="1"/>
    <s v="Skincare"/>
    <n v="16188"/>
    <n v="8094"/>
    <n v="40"/>
    <n v="26"/>
    <n v="57"/>
    <n v="3"/>
    <n v="1"/>
    <x v="0"/>
    <x v="0"/>
    <s v="Delhi"/>
    <n v="6"/>
    <s v="YES"/>
    <n v="500"/>
  </r>
  <r>
    <s v="MSH00171"/>
    <x v="134"/>
    <s v="Palazzo Set"/>
    <x v="0"/>
    <x v="0"/>
    <s v="Women Ethnic"/>
    <n v="91924"/>
    <n v="57526"/>
    <n v="35"/>
    <n v="89"/>
    <n v="98"/>
    <n v="1"/>
    <n v="1"/>
    <x v="0"/>
    <x v="7"/>
    <s v="Jaipur"/>
    <n v="5"/>
    <s v="NO"/>
    <n v="0"/>
  </r>
  <r>
    <s v="MSH00172"/>
    <x v="12"/>
    <s v="Puzzle 100pc"/>
    <x v="1"/>
    <x v="1"/>
    <s v="Puzzle"/>
    <n v="8580"/>
    <n v="4080"/>
    <n v="45"/>
    <n v="25"/>
    <n v="30"/>
    <n v="1"/>
    <n v="0"/>
    <x v="1"/>
    <x v="1"/>
    <s v="Patna"/>
    <n v="7"/>
    <s v="NO"/>
    <n v="500"/>
  </r>
  <r>
    <s v="MSH00173"/>
    <x v="31"/>
    <s v="Saree Cotton"/>
    <x v="0"/>
    <x v="0"/>
    <s v="Women Saree"/>
    <n v="131803"/>
    <n v="63574"/>
    <n v="60"/>
    <n v="88"/>
    <n v="133"/>
    <n v="5"/>
    <n v="4"/>
    <x v="0"/>
    <x v="2"/>
    <s v="Lucknow"/>
    <n v="6"/>
    <s v="NO"/>
    <n v="1000"/>
  </r>
  <r>
    <s v="MSH00174"/>
    <x v="109"/>
    <s v="Bangles Set"/>
    <x v="5"/>
    <x v="0"/>
    <s v="Bangles"/>
    <n v="63812"/>
    <n v="42828"/>
    <n v="35"/>
    <n v="46"/>
    <n v="172"/>
    <n v="20"/>
    <n v="4"/>
    <x v="0"/>
    <x v="2"/>
    <s v="Lucknow"/>
    <n v="3"/>
    <s v="NO"/>
    <n v="1000"/>
  </r>
  <r>
    <s v="MSH00175"/>
    <x v="135"/>
    <s v="Earrings Combo 5pc"/>
    <x v="5"/>
    <x v="0"/>
    <s v="Earrings"/>
    <n v="120564"/>
    <n v="84119"/>
    <n v="35"/>
    <n v="91"/>
    <n v="197"/>
    <n v="15"/>
    <n v="8"/>
    <x v="0"/>
    <x v="4"/>
    <s v="Bangalore"/>
    <n v="7"/>
    <s v="NO"/>
    <n v="500"/>
  </r>
  <r>
    <s v="MSH00176"/>
    <x v="104"/>
    <s v="Leggings Pack of 3"/>
    <x v="0"/>
    <x v="1"/>
    <s v="Women Bottom"/>
    <n v="106110"/>
    <n v="71550"/>
    <n v="55"/>
    <n v="66"/>
    <n v="135"/>
    <n v="11"/>
    <n v="6"/>
    <x v="2"/>
    <x v="1"/>
    <s v="Patna"/>
    <n v="4"/>
    <s v="NO"/>
    <n v="100"/>
  </r>
  <r>
    <s v="MSH00177"/>
    <x v="72"/>
    <s v="Necklace Oxidised"/>
    <x v="5"/>
    <x v="0"/>
    <s v="Necklace"/>
    <n v="84660"/>
    <n v="55942"/>
    <n v="45"/>
    <n v="47"/>
    <n v="166"/>
    <n v="11"/>
    <n v="0"/>
    <x v="0"/>
    <x v="4"/>
    <s v="Bangalore"/>
    <n v="4"/>
    <s v="NO"/>
    <n v="100"/>
  </r>
  <r>
    <s v="MSH00178"/>
    <x v="93"/>
    <s v="Nail Polish 12pc"/>
    <x v="6"/>
    <x v="1"/>
    <s v="Nails"/>
    <n v="2535"/>
    <n v="1515"/>
    <n v="35"/>
    <n v="20"/>
    <n v="15"/>
    <n v="0"/>
    <n v="0"/>
    <x v="0"/>
    <x v="2"/>
    <s v="Lucknow"/>
    <n v="3"/>
    <s v="NO"/>
    <n v="500"/>
  </r>
  <r>
    <s v="MSH00179"/>
    <x v="136"/>
    <s v="Building Blocks"/>
    <x v="1"/>
    <x v="0"/>
    <s v="Educational"/>
    <n v="19392"/>
    <n v="13332"/>
    <n v="70"/>
    <n v="23"/>
    <n v="101"/>
    <n v="5"/>
    <n v="1"/>
    <x v="0"/>
    <x v="8"/>
    <s v="Bhopal"/>
    <n v="4"/>
    <s v="NO"/>
    <n v="1000"/>
  </r>
  <r>
    <s v="MSH00180"/>
    <x v="137"/>
    <s v="Necklace Oxidised"/>
    <x v="5"/>
    <x v="1"/>
    <s v="Necklace"/>
    <n v="14685"/>
    <n v="7995"/>
    <n v="55"/>
    <n v="87"/>
    <n v="15"/>
    <n v="1"/>
    <n v="0"/>
    <x v="2"/>
    <x v="4"/>
    <s v="Bangalore"/>
    <n v="3"/>
    <s v="NO"/>
    <n v="200"/>
  </r>
  <r>
    <s v="MSH00181"/>
    <x v="138"/>
    <s v="Anklet Pair"/>
    <x v="5"/>
    <x v="0"/>
    <s v="Anklet"/>
    <n v="77004"/>
    <n v="51708"/>
    <n v="40"/>
    <n v="57"/>
    <n v="186"/>
    <n v="10"/>
    <n v="7"/>
    <x v="1"/>
    <x v="0"/>
    <s v="Delhi"/>
    <n v="8"/>
    <s v="NO"/>
    <n v="200"/>
  </r>
  <r>
    <s v="MSH00182"/>
    <x v="139"/>
    <s v="Anarkali Kurti"/>
    <x v="0"/>
    <x v="1"/>
    <s v="Women Ethnic"/>
    <n v="74307"/>
    <n v="41172"/>
    <n v="45"/>
    <n v="75"/>
    <n v="141"/>
    <n v="11"/>
    <n v="6"/>
    <x v="0"/>
    <x v="9"/>
    <s v="Mumbai"/>
    <n v="6"/>
    <s v="NO"/>
    <n v="200"/>
  </r>
  <r>
    <s v="MSH00183"/>
    <x v="140"/>
    <s v="Yoga Mat 6mm"/>
    <x v="3"/>
    <x v="0"/>
    <s v="Mat"/>
    <n v="5780"/>
    <n v="2856"/>
    <n v="70"/>
    <n v="16"/>
    <n v="34"/>
    <n v="0"/>
    <n v="1"/>
    <x v="0"/>
    <x v="6"/>
    <s v="Ahmedabad"/>
    <n v="8"/>
    <s v="NO"/>
    <n v="0"/>
  </r>
  <r>
    <s v="MSH00184"/>
    <x v="141"/>
    <s v="Kids Frock"/>
    <x v="0"/>
    <x v="1"/>
    <s v="Kids Girls"/>
    <n v="38220"/>
    <n v="19019"/>
    <n v="55"/>
    <n v="53"/>
    <n v="91"/>
    <n v="1"/>
    <n v="0"/>
    <x v="0"/>
    <x v="2"/>
    <s v="Lucknow"/>
    <n v="5"/>
    <s v="NO"/>
    <n v="100"/>
  </r>
  <r>
    <s v="MSH00185"/>
    <x v="142"/>
    <s v="Lipstick Set 6pc"/>
    <x v="6"/>
    <x v="0"/>
    <s v="Lips"/>
    <n v="22576"/>
    <n v="11152"/>
    <n v="55"/>
    <n v="25"/>
    <n v="136"/>
    <n v="9"/>
    <n v="6"/>
    <x v="0"/>
    <x v="7"/>
    <s v="Jaipur"/>
    <n v="3"/>
    <s v="NO"/>
    <n v="1000"/>
  </r>
  <r>
    <s v="MSH00186"/>
    <x v="143"/>
    <s v="Skipping Rope"/>
    <x v="3"/>
    <x v="0"/>
    <s v="Rope"/>
    <n v="30024"/>
    <n v="13824"/>
    <n v="80"/>
    <n v="47"/>
    <n v="72"/>
    <n v="0"/>
    <n v="1"/>
    <x v="0"/>
    <x v="8"/>
    <s v="Bhopal"/>
    <n v="7"/>
    <s v="YES"/>
    <n v="0"/>
  </r>
  <r>
    <s v="MSH00187"/>
    <x v="144"/>
    <s v="Notebook A5 Pack"/>
    <x v="4"/>
    <x v="1"/>
    <s v="Notebook"/>
    <n v="47400"/>
    <n v="29475"/>
    <n v="80"/>
    <n v="76"/>
    <n v="75"/>
    <n v="4"/>
    <n v="0"/>
    <x v="2"/>
    <x v="1"/>
    <s v="Patna"/>
    <n v="6"/>
    <s v="YES"/>
    <n v="100"/>
  </r>
  <r>
    <s v="MSH00188"/>
    <x v="145"/>
    <s v="Kitchen Organizer"/>
    <x v="7"/>
    <x v="1"/>
    <s v="Storage"/>
    <n v="79625"/>
    <n v="49350"/>
    <n v="50"/>
    <n v="68"/>
    <n v="175"/>
    <n v="19"/>
    <n v="4"/>
    <x v="0"/>
    <x v="6"/>
    <s v="Ahmedabad"/>
    <n v="7"/>
    <s v="YES"/>
    <n v="0"/>
  </r>
  <r>
    <s v="MSH00189"/>
    <x v="119"/>
    <s v="Building Blocks"/>
    <x v="1"/>
    <x v="0"/>
    <s v="Educational"/>
    <n v="7897"/>
    <n v="4770"/>
    <n v="70"/>
    <n v="13"/>
    <n v="53"/>
    <n v="4"/>
    <n v="2"/>
    <x v="0"/>
    <x v="4"/>
    <s v="Bangalore"/>
    <n v="3"/>
    <s v="YES"/>
    <n v="0"/>
  </r>
  <r>
    <s v="MSH00190"/>
    <x v="146"/>
    <s v="Phone Cover Printed"/>
    <x v="2"/>
    <x v="1"/>
    <s v="Mobile"/>
    <n v="118708"/>
    <n v="71508"/>
    <n v="35"/>
    <n v="93"/>
    <n v="118"/>
    <n v="9"/>
    <n v="4"/>
    <x v="2"/>
    <x v="6"/>
    <s v="Ahmedabad"/>
    <n v="5"/>
    <s v="NO"/>
    <n v="0"/>
  </r>
  <r>
    <s v="MSH00191"/>
    <x v="68"/>
    <s v="Earphones Wired"/>
    <x v="2"/>
    <x v="0"/>
    <s v="Audio"/>
    <n v="17640"/>
    <n v="11480"/>
    <n v="55"/>
    <n v="13"/>
    <n v="140"/>
    <n v="7"/>
    <n v="2"/>
    <x v="0"/>
    <x v="7"/>
    <s v="Jaipur"/>
    <n v="8"/>
    <s v="NO"/>
    <n v="500"/>
  </r>
  <r>
    <s v="MSH00192"/>
    <x v="62"/>
    <s v="Face Wash 100ml"/>
    <x v="6"/>
    <x v="0"/>
    <s v="Skincare"/>
    <n v="85702"/>
    <n v="54896"/>
    <n v="60"/>
    <n v="81"/>
    <n v="146"/>
    <n v="2"/>
    <n v="4"/>
    <x v="2"/>
    <x v="5"/>
    <s v="Chennai"/>
    <n v="7"/>
    <s v="NO"/>
    <n v="100"/>
  </r>
  <r>
    <s v="MSH00193"/>
    <x v="147"/>
    <s v="Kids Frock"/>
    <x v="0"/>
    <x v="1"/>
    <s v="Kids Girls"/>
    <n v="17556"/>
    <n v="11970"/>
    <n v="50"/>
    <n v="13"/>
    <n v="133"/>
    <n v="12"/>
    <n v="5"/>
    <x v="0"/>
    <x v="8"/>
    <s v="Bhopal"/>
    <n v="6"/>
    <s v="YES"/>
    <n v="200"/>
  </r>
  <r>
    <s v="MSH00194"/>
    <x v="148"/>
    <s v="Puzzle 100pc"/>
    <x v="1"/>
    <x v="0"/>
    <s v="Puzzle"/>
    <n v="46669"/>
    <n v="31414"/>
    <n v="40"/>
    <n v="41"/>
    <n v="113"/>
    <n v="2"/>
    <n v="4"/>
    <x v="1"/>
    <x v="0"/>
    <s v="Delhi"/>
    <n v="8"/>
    <s v="NO"/>
    <n v="200"/>
  </r>
  <r>
    <s v="MSH00195"/>
    <x v="30"/>
    <s v="Anarkali Kurti"/>
    <x v="0"/>
    <x v="1"/>
    <s v="Women Ethnic"/>
    <n v="48280"/>
    <n v="28900"/>
    <n v="35"/>
    <n v="27"/>
    <n v="170"/>
    <n v="20"/>
    <n v="4"/>
    <x v="0"/>
    <x v="3"/>
    <s v="Kolkata"/>
    <n v="5"/>
    <s v="NO"/>
    <n v="500"/>
  </r>
  <r>
    <s v="MSH00196"/>
    <x v="149"/>
    <s v="Denim Jeans Men"/>
    <x v="0"/>
    <x v="0"/>
    <s v="Men Bottom"/>
    <n v="133433"/>
    <n v="92351"/>
    <n v="60"/>
    <n v="95"/>
    <n v="167"/>
    <n v="9"/>
    <n v="4"/>
    <x v="2"/>
    <x v="1"/>
    <s v="Patna"/>
    <n v="5"/>
    <s v="YES"/>
    <n v="1000"/>
  </r>
  <r>
    <s v="MSH00197"/>
    <x v="105"/>
    <s v="Phone Cover Printed"/>
    <x v="2"/>
    <x v="1"/>
    <s v="Mobile"/>
    <n v="157248"/>
    <n v="76608"/>
    <n v="50"/>
    <n v="134"/>
    <n v="168"/>
    <n v="10"/>
    <n v="2"/>
    <x v="0"/>
    <x v="7"/>
    <s v="Jaipur"/>
    <n v="5"/>
    <s v="YES"/>
    <n v="1000"/>
  </r>
  <r>
    <s v="MSH00198"/>
    <x v="150"/>
    <s v="Earrings Combo 5pc"/>
    <x v="5"/>
    <x v="0"/>
    <s v="Earrings"/>
    <n v="66960"/>
    <n v="40734"/>
    <n v="80"/>
    <n v="52"/>
    <n v="186"/>
    <n v="16"/>
    <n v="4"/>
    <x v="2"/>
    <x v="7"/>
    <s v="Jaipur"/>
    <n v="3"/>
    <s v="NO"/>
    <n v="100"/>
  </r>
  <r>
    <s v="MSH00199"/>
    <x v="105"/>
    <s v="Resistance Band Set"/>
    <x v="3"/>
    <x v="1"/>
    <s v="Band"/>
    <n v="17919"/>
    <n v="9108"/>
    <n v="55"/>
    <n v="20"/>
    <n v="99"/>
    <n v="4"/>
    <n v="4"/>
    <x v="0"/>
    <x v="3"/>
    <s v="Kolkata"/>
    <n v="3"/>
    <s v="NO"/>
    <n v="0"/>
  </r>
  <r>
    <s v="MSH00200"/>
    <x v="151"/>
    <s v="Lipstick Set 6pc"/>
    <x v="6"/>
    <x v="0"/>
    <s v="Lips"/>
    <n v="30687"/>
    <n v="19027"/>
    <n v="55"/>
    <n v="63"/>
    <n v="53"/>
    <n v="1"/>
    <n v="1"/>
    <x v="0"/>
    <x v="8"/>
    <s v="Bhopal"/>
    <n v="8"/>
    <s v="NO"/>
    <n v="100"/>
  </r>
  <r>
    <s v="MSH00201"/>
    <x v="152"/>
    <s v="Curtain Set 2pc"/>
    <x v="7"/>
    <x v="1"/>
    <s v="Window"/>
    <n v="49068"/>
    <n v="27608"/>
    <n v="50"/>
    <n v="113"/>
    <n v="58"/>
    <n v="6"/>
    <n v="0"/>
    <x v="0"/>
    <x v="4"/>
    <s v="Bangalore"/>
    <n v="6"/>
    <s v="YES"/>
    <n v="100"/>
  </r>
  <r>
    <s v="MSH00202"/>
    <x v="146"/>
    <s v="Lipstick Set 6pc"/>
    <x v="6"/>
    <x v="0"/>
    <s v="Lips"/>
    <n v="10767"/>
    <n v="5335"/>
    <n v="60"/>
    <n v="16"/>
    <n v="97"/>
    <n v="3"/>
    <n v="0"/>
    <x v="1"/>
    <x v="0"/>
    <s v="Delhi"/>
    <n v="8"/>
    <s v="YES"/>
    <n v="200"/>
  </r>
  <r>
    <s v="MSH00203"/>
    <x v="153"/>
    <s v="Notebook A5 Pack"/>
    <x v="4"/>
    <x v="0"/>
    <s v="Notebook"/>
    <n v="72446"/>
    <n v="33820"/>
    <n v="35"/>
    <n v="82"/>
    <n v="89"/>
    <n v="8"/>
    <n v="4"/>
    <x v="1"/>
    <x v="9"/>
    <s v="Mumbai"/>
    <n v="5"/>
    <s v="NO"/>
    <n v="750"/>
  </r>
  <r>
    <s v="MSH00204"/>
    <x v="154"/>
    <s v="Pen Set 10pc"/>
    <x v="4"/>
    <x v="0"/>
    <s v="Pen"/>
    <n v="49830"/>
    <n v="34650"/>
    <n v="50"/>
    <n v="40"/>
    <n v="165"/>
    <n v="5"/>
    <n v="1"/>
    <x v="0"/>
    <x v="7"/>
    <s v="Jaipur"/>
    <n v="7"/>
    <s v="YES"/>
    <n v="750"/>
  </r>
  <r>
    <s v="MSH00205"/>
    <x v="155"/>
    <s v="Denim Jeans Men"/>
    <x v="0"/>
    <x v="1"/>
    <s v="Men Bottom"/>
    <n v="17360"/>
    <n v="8370"/>
    <n v="80"/>
    <n v="12"/>
    <n v="155"/>
    <n v="15"/>
    <n v="2"/>
    <x v="2"/>
    <x v="6"/>
    <s v="Ahmedabad"/>
    <n v="8"/>
    <s v="YES"/>
    <n v="300"/>
  </r>
  <r>
    <s v="MSH00206"/>
    <x v="1"/>
    <s v="Kitchen Organizer"/>
    <x v="7"/>
    <x v="0"/>
    <s v="Storage"/>
    <n v="8526"/>
    <n v="5166"/>
    <n v="55"/>
    <n v="18"/>
    <n v="42"/>
    <n v="1"/>
    <n v="2"/>
    <x v="1"/>
    <x v="8"/>
    <s v="Bhopal"/>
    <n v="8"/>
    <s v="NO"/>
    <n v="200"/>
  </r>
  <r>
    <s v="MSH00207"/>
    <x v="156"/>
    <s v="Puzzle 100pc"/>
    <x v="1"/>
    <x v="1"/>
    <s v="Puzzle"/>
    <n v="66960"/>
    <n v="38130"/>
    <n v="50"/>
    <n v="29"/>
    <n v="186"/>
    <n v="3"/>
    <n v="9"/>
    <x v="2"/>
    <x v="1"/>
    <s v="Patna"/>
    <n v="7"/>
    <s v="NO"/>
    <n v="100"/>
  </r>
  <r>
    <s v="MSH00208"/>
    <x v="87"/>
    <s v="Necklace Oxidised"/>
    <x v="5"/>
    <x v="0"/>
    <s v="Necklace"/>
    <n v="32841"/>
    <n v="15219"/>
    <n v="45"/>
    <n v="52"/>
    <n v="89"/>
    <n v="10"/>
    <n v="2"/>
    <x v="2"/>
    <x v="2"/>
    <s v="Lucknow"/>
    <n v="3"/>
    <s v="YES"/>
    <n v="0"/>
  </r>
  <r>
    <s v="MSH00209"/>
    <x v="39"/>
    <s v="Water Bottle 1L"/>
    <x v="3"/>
    <x v="1"/>
    <s v="Bottle"/>
    <n v="48922"/>
    <n v="30988"/>
    <n v="60"/>
    <n v="110"/>
    <n v="61"/>
    <n v="6"/>
    <n v="3"/>
    <x v="2"/>
    <x v="3"/>
    <s v="Kolkata"/>
    <n v="6"/>
    <s v="NO"/>
    <n v="750"/>
  </r>
  <r>
    <s v="MSH00210"/>
    <x v="19"/>
    <s v="Kids Frock"/>
    <x v="0"/>
    <x v="0"/>
    <s v="Kids Girls"/>
    <n v="21952"/>
    <n v="13104"/>
    <n v="80"/>
    <n v="18"/>
    <n v="112"/>
    <n v="9"/>
    <n v="0"/>
    <x v="0"/>
    <x v="3"/>
    <s v="Kolkata"/>
    <n v="3"/>
    <s v="NO"/>
    <n v="1000"/>
  </r>
  <r>
    <s v="MSH00211"/>
    <x v="105"/>
    <s v="Phone Cover Printed"/>
    <x v="2"/>
    <x v="1"/>
    <s v="Mobile"/>
    <n v="71982"/>
    <n v="47988"/>
    <n v="50"/>
    <n v="57"/>
    <n v="186"/>
    <n v="16"/>
    <n v="8"/>
    <x v="2"/>
    <x v="0"/>
    <s v="Delhi"/>
    <n v="6"/>
    <s v="YES"/>
    <n v="750"/>
  </r>
  <r>
    <s v="MSH00212"/>
    <x v="157"/>
    <s v="Puzzle 100pc"/>
    <x v="1"/>
    <x v="0"/>
    <s v="Puzzle"/>
    <n v="6270"/>
    <n v="4275"/>
    <n v="80"/>
    <n v="15"/>
    <n v="57"/>
    <n v="6"/>
    <n v="1"/>
    <x v="2"/>
    <x v="7"/>
    <s v="Jaipur"/>
    <n v="3"/>
    <s v="NO"/>
    <n v="500"/>
  </r>
  <r>
    <s v="MSH00213"/>
    <x v="77"/>
    <s v="Pen Set 10pc"/>
    <x v="4"/>
    <x v="1"/>
    <s v="Pen"/>
    <n v="28258"/>
    <n v="18318"/>
    <n v="80"/>
    <n v="17"/>
    <n v="142"/>
    <n v="10"/>
    <n v="1"/>
    <x v="0"/>
    <x v="6"/>
    <s v="Ahmedabad"/>
    <n v="6"/>
    <s v="YES"/>
    <n v="0"/>
  </r>
  <r>
    <s v="MSH00214"/>
    <x v="158"/>
    <s v="Palazzo Set"/>
    <x v="0"/>
    <x v="0"/>
    <s v="Women Ethnic"/>
    <n v="120651"/>
    <n v="81089"/>
    <n v="50"/>
    <n v="116"/>
    <n v="131"/>
    <n v="11"/>
    <n v="6"/>
    <x v="0"/>
    <x v="8"/>
    <s v="Bhopal"/>
    <n v="7"/>
    <s v="NO"/>
    <n v="1000"/>
  </r>
  <r>
    <s v="MSH00215"/>
    <x v="159"/>
    <s v="Face Wash 100ml"/>
    <x v="6"/>
    <x v="0"/>
    <s v="Skincare"/>
    <n v="39117"/>
    <n v="19824"/>
    <n v="60"/>
    <n v="23"/>
    <n v="177"/>
    <n v="17"/>
    <n v="8"/>
    <x v="2"/>
    <x v="9"/>
    <s v="Mumbai"/>
    <n v="6"/>
    <s v="YES"/>
    <n v="0"/>
  </r>
  <r>
    <s v="MSH00216"/>
    <x v="38"/>
    <s v="Phone Cover Printed"/>
    <x v="2"/>
    <x v="1"/>
    <s v="Mobile"/>
    <n v="18774"/>
    <n v="12789"/>
    <n v="70"/>
    <n v="28"/>
    <n v="63"/>
    <n v="1"/>
    <n v="3"/>
    <x v="0"/>
    <x v="3"/>
    <s v="Kolkata"/>
    <n v="8"/>
    <s v="YES"/>
    <n v="1000"/>
  </r>
  <r>
    <s v="MSH00217"/>
    <x v="160"/>
    <s v="Anarkali Kurti"/>
    <x v="0"/>
    <x v="1"/>
    <s v="Women Ethnic"/>
    <n v="8220"/>
    <n v="4560"/>
    <n v="80"/>
    <n v="20"/>
    <n v="60"/>
    <n v="2"/>
    <n v="1"/>
    <x v="0"/>
    <x v="5"/>
    <s v="Chennai"/>
    <n v="6"/>
    <s v="NO"/>
    <n v="500"/>
  </r>
  <r>
    <s v="MSH00218"/>
    <x v="150"/>
    <s v="Pen Set 10pc"/>
    <x v="4"/>
    <x v="0"/>
    <s v="Pen"/>
    <n v="57962"/>
    <n v="28032"/>
    <n v="70"/>
    <n v="49"/>
    <n v="146"/>
    <n v="17"/>
    <n v="5"/>
    <x v="1"/>
    <x v="0"/>
    <s v="Delhi"/>
    <n v="7"/>
    <s v="NO"/>
    <n v="200"/>
  </r>
  <r>
    <s v="MSH00219"/>
    <x v="153"/>
    <s v="Curtain Set 2pc"/>
    <x v="7"/>
    <x v="1"/>
    <s v="Window"/>
    <n v="114234"/>
    <n v="60672"/>
    <n v="40"/>
    <n v="96"/>
    <n v="158"/>
    <n v="18"/>
    <n v="6"/>
    <x v="0"/>
    <x v="2"/>
    <s v="Lucknow"/>
    <n v="7"/>
    <s v="NO"/>
    <n v="750"/>
  </r>
  <r>
    <s v="MSH00220"/>
    <x v="161"/>
    <s v="Kids Frock"/>
    <x v="0"/>
    <x v="0"/>
    <s v="Kids Girls"/>
    <n v="22491"/>
    <n v="14364"/>
    <n v="45"/>
    <n v="18"/>
    <n v="189"/>
    <n v="4"/>
    <n v="0"/>
    <x v="0"/>
    <x v="5"/>
    <s v="Chennai"/>
    <n v="3"/>
    <s v="NO"/>
    <n v="200"/>
  </r>
  <r>
    <s v="MSH00221"/>
    <x v="162"/>
    <s v="Puzzle 100pc"/>
    <x v="1"/>
    <x v="0"/>
    <s v="Puzzle"/>
    <n v="9126"/>
    <n v="5913"/>
    <n v="55"/>
    <n v="43"/>
    <n v="27"/>
    <n v="3"/>
    <n v="1"/>
    <x v="2"/>
    <x v="2"/>
    <s v="Lucknow"/>
    <n v="8"/>
    <s v="NO"/>
    <n v="0"/>
  </r>
  <r>
    <s v="MSH00222"/>
    <x v="114"/>
    <s v="Necklace Oxidised"/>
    <x v="5"/>
    <x v="1"/>
    <s v="Necklace"/>
    <n v="61568"/>
    <n v="36736"/>
    <n v="50"/>
    <n v="129"/>
    <n v="64"/>
    <n v="7"/>
    <n v="1"/>
    <x v="0"/>
    <x v="9"/>
    <s v="Mumbai"/>
    <n v="8"/>
    <s v="YES"/>
    <n v="100"/>
  </r>
  <r>
    <s v="MSH00223"/>
    <x v="20"/>
    <s v="File Folder Set"/>
    <x v="4"/>
    <x v="0"/>
    <s v="Folder"/>
    <n v="82410"/>
    <n v="40334"/>
    <n v="55"/>
    <n v="49"/>
    <n v="134"/>
    <n v="1"/>
    <n v="1"/>
    <x v="1"/>
    <x v="3"/>
    <s v="Kolkata"/>
    <n v="7"/>
    <s v="YES"/>
    <n v="300"/>
  </r>
  <r>
    <s v="MSH00224"/>
    <x v="163"/>
    <s v="Building Blocks"/>
    <x v="1"/>
    <x v="1"/>
    <s v="Educational"/>
    <n v="41192"/>
    <n v="26600"/>
    <n v="45"/>
    <n v="30"/>
    <n v="152"/>
    <n v="2"/>
    <n v="5"/>
    <x v="2"/>
    <x v="8"/>
    <s v="Bhopal"/>
    <n v="5"/>
    <s v="NO"/>
    <n v="500"/>
  </r>
  <r>
    <s v="MSH00225"/>
    <x v="164"/>
    <s v="Puzzle 100pc"/>
    <x v="1"/>
    <x v="0"/>
    <s v="Puzzle"/>
    <n v="19780"/>
    <n v="10664"/>
    <n v="50"/>
    <n v="16"/>
    <n v="172"/>
    <n v="7"/>
    <n v="0"/>
    <x v="0"/>
    <x v="1"/>
    <s v="Patna"/>
    <n v="6"/>
    <s v="NO"/>
    <n v="750"/>
  </r>
  <r>
    <s v="MSH00226"/>
    <x v="116"/>
    <s v="Building Blocks"/>
    <x v="1"/>
    <x v="1"/>
    <s v="Educational"/>
    <n v="135750"/>
    <n v="76201"/>
    <n v="35"/>
    <n v="76"/>
    <n v="181"/>
    <n v="10"/>
    <n v="8"/>
    <x v="2"/>
    <x v="5"/>
    <s v="Chennai"/>
    <n v="7"/>
    <s v="YES"/>
    <n v="100"/>
  </r>
  <r>
    <s v="MSH00227"/>
    <x v="165"/>
    <s v="Bangles Set"/>
    <x v="5"/>
    <x v="0"/>
    <s v="Bangles"/>
    <n v="19998"/>
    <n v="10032"/>
    <n v="70"/>
    <n v="76"/>
    <n v="33"/>
    <n v="0"/>
    <n v="1"/>
    <x v="2"/>
    <x v="1"/>
    <s v="Patna"/>
    <n v="3"/>
    <s v="NO"/>
    <n v="0"/>
  </r>
  <r>
    <s v="MSH00228"/>
    <x v="166"/>
    <s v="Necklace Oxidised"/>
    <x v="5"/>
    <x v="1"/>
    <s v="Necklace"/>
    <n v="58938"/>
    <n v="35796"/>
    <n v="70"/>
    <n v="53"/>
    <n v="114"/>
    <n v="8"/>
    <n v="0"/>
    <x v="0"/>
    <x v="1"/>
    <s v="Patna"/>
    <n v="5"/>
    <s v="YES"/>
    <n v="0"/>
  </r>
  <r>
    <s v="MSH00229"/>
    <x v="167"/>
    <s v="Palazzo Set"/>
    <x v="0"/>
    <x v="0"/>
    <s v="Women Ethnic"/>
    <n v="87580"/>
    <n v="57380"/>
    <n v="35"/>
    <n v="66"/>
    <n v="151"/>
    <n v="4"/>
    <n v="6"/>
    <x v="2"/>
    <x v="7"/>
    <s v="Jaipur"/>
    <n v="8"/>
    <s v="NO"/>
    <n v="100"/>
  </r>
  <r>
    <s v="MSH00230"/>
    <x v="168"/>
    <s v="Puzzle 100pc"/>
    <x v="1"/>
    <x v="1"/>
    <s v="Puzzle"/>
    <n v="8352"/>
    <n v="3780"/>
    <n v="70"/>
    <n v="27"/>
    <n v="36"/>
    <n v="1"/>
    <n v="1"/>
    <x v="0"/>
    <x v="9"/>
    <s v="Mumbai"/>
    <n v="4"/>
    <s v="NO"/>
    <n v="100"/>
  </r>
  <r>
    <s v="MSH00231"/>
    <x v="70"/>
    <s v="Night Suit Women"/>
    <x v="0"/>
    <x v="0"/>
    <s v="Women Lounge"/>
    <n v="37092"/>
    <n v="24585"/>
    <n v="80"/>
    <n v="141"/>
    <n v="33"/>
    <n v="0"/>
    <n v="1"/>
    <x v="2"/>
    <x v="8"/>
    <s v="Bhopal"/>
    <n v="5"/>
    <s v="NO"/>
    <n v="1000"/>
  </r>
  <r>
    <s v="MSH00232"/>
    <x v="169"/>
    <s v="USB Cable 3in1"/>
    <x v="2"/>
    <x v="0"/>
    <s v="Cable"/>
    <n v="42456"/>
    <n v="22509"/>
    <n v="80"/>
    <n v="24"/>
    <n v="183"/>
    <n v="18"/>
    <n v="2"/>
    <x v="1"/>
    <x v="6"/>
    <s v="Ahmedabad"/>
    <n v="4"/>
    <s v="NO"/>
    <n v="500"/>
  </r>
  <r>
    <s v="MSH00233"/>
    <x v="170"/>
    <s v="File Folder Set"/>
    <x v="4"/>
    <x v="0"/>
    <s v="Folder"/>
    <n v="43248"/>
    <n v="27348"/>
    <n v="80"/>
    <n v="46"/>
    <n v="106"/>
    <n v="7"/>
    <n v="4"/>
    <x v="2"/>
    <x v="7"/>
    <s v="Jaipur"/>
    <n v="4"/>
    <s v="NO"/>
    <n v="0"/>
  </r>
  <r>
    <s v="MSH00234"/>
    <x v="154"/>
    <s v="Saree Cotton"/>
    <x v="0"/>
    <x v="1"/>
    <s v="Women Saree"/>
    <n v="48783"/>
    <n v="31878"/>
    <n v="70"/>
    <n v="95"/>
    <n v="69"/>
    <n v="8"/>
    <n v="2"/>
    <x v="0"/>
    <x v="8"/>
    <s v="Bhopal"/>
    <n v="6"/>
    <s v="NO"/>
    <n v="100"/>
  </r>
  <r>
    <s v="MSH00235"/>
    <x v="171"/>
    <s v="Kajal Waterproof"/>
    <x v="6"/>
    <x v="0"/>
    <s v="Eyes"/>
    <n v="98384"/>
    <n v="53148"/>
    <n v="35"/>
    <n v="72"/>
    <n v="172"/>
    <n v="16"/>
    <n v="2"/>
    <x v="2"/>
    <x v="4"/>
    <s v="Bangalore"/>
    <n v="7"/>
    <s v="NO"/>
    <n v="100"/>
  </r>
  <r>
    <s v="MSH00236"/>
    <x v="163"/>
    <s v="Men Casual Shirt"/>
    <x v="0"/>
    <x v="1"/>
    <s v="Men Top"/>
    <n v="36649"/>
    <n v="18894"/>
    <n v="50"/>
    <n v="45"/>
    <n v="67"/>
    <n v="5"/>
    <n v="3"/>
    <x v="0"/>
    <x v="2"/>
    <s v="Lucknow"/>
    <n v="8"/>
    <s v="NO"/>
    <n v="0"/>
  </r>
  <r>
    <s v="MSH00237"/>
    <x v="172"/>
    <s v="Phone Cover Printed"/>
    <x v="2"/>
    <x v="0"/>
    <s v="Mobile"/>
    <n v="125944"/>
    <n v="68614"/>
    <n v="70"/>
    <n v="73"/>
    <n v="182"/>
    <n v="16"/>
    <n v="4"/>
    <x v="0"/>
    <x v="8"/>
    <s v="Bhopal"/>
    <n v="5"/>
    <s v="NO"/>
    <n v="750"/>
  </r>
  <r>
    <s v="MSH00238"/>
    <x v="108"/>
    <s v="Toy Car Set Kids"/>
    <x v="1"/>
    <x v="1"/>
    <s v="Vehicle"/>
    <n v="32984"/>
    <n v="15500"/>
    <n v="55"/>
    <n v="50"/>
    <n v="62"/>
    <n v="5"/>
    <n v="0"/>
    <x v="0"/>
    <x v="8"/>
    <s v="Bhopal"/>
    <n v="8"/>
    <s v="NO"/>
    <n v="750"/>
  </r>
  <r>
    <s v="MSH00239"/>
    <x v="66"/>
    <s v="Bangles Set"/>
    <x v="5"/>
    <x v="0"/>
    <s v="Bangles"/>
    <n v="45724"/>
    <n v="25277"/>
    <n v="50"/>
    <n v="24"/>
    <n v="161"/>
    <n v="5"/>
    <n v="2"/>
    <x v="2"/>
    <x v="2"/>
    <s v="Lucknow"/>
    <n v="4"/>
    <s v="YES"/>
    <n v="100"/>
  </r>
  <r>
    <s v="MSH00240"/>
    <x v="173"/>
    <s v="Leggings Pack of 3"/>
    <x v="0"/>
    <x v="1"/>
    <s v="Women Bottom"/>
    <n v="27318"/>
    <n v="13746"/>
    <n v="80"/>
    <n v="66"/>
    <n v="58"/>
    <n v="6"/>
    <n v="1"/>
    <x v="1"/>
    <x v="4"/>
    <s v="Bangalore"/>
    <n v="8"/>
    <s v="NO"/>
    <n v="100"/>
  </r>
  <r>
    <s v="MSH00241"/>
    <x v="118"/>
    <s v="Kajal Waterproof"/>
    <x v="6"/>
    <x v="0"/>
    <s v="Eyes"/>
    <n v="48642"/>
    <n v="26466"/>
    <n v="45"/>
    <n v="65"/>
    <n v="66"/>
    <n v="6"/>
    <n v="1"/>
    <x v="0"/>
    <x v="3"/>
    <s v="Kolkata"/>
    <n v="7"/>
    <s v="YES"/>
    <n v="100"/>
  </r>
  <r>
    <s v="MSH00242"/>
    <x v="174"/>
    <s v="Palazzo Set"/>
    <x v="0"/>
    <x v="1"/>
    <s v="Women Ethnic"/>
    <n v="164124"/>
    <n v="98700"/>
    <n v="35"/>
    <n v="125"/>
    <n v="188"/>
    <n v="13"/>
    <n v="8"/>
    <x v="0"/>
    <x v="5"/>
    <s v="Chennai"/>
    <n v="6"/>
    <s v="NO"/>
    <n v="0"/>
  </r>
  <r>
    <s v="MSH00243"/>
    <x v="175"/>
    <s v="Denim Jeans Men"/>
    <x v="0"/>
    <x v="0"/>
    <s v="Men Bottom"/>
    <n v="37730"/>
    <n v="24178"/>
    <n v="40"/>
    <n v="24"/>
    <n v="154"/>
    <n v="8"/>
    <n v="3"/>
    <x v="2"/>
    <x v="5"/>
    <s v="Chennai"/>
    <n v="3"/>
    <s v="YES"/>
    <n v="0"/>
  </r>
  <r>
    <s v="MSH00244"/>
    <x v="69"/>
    <s v="Sticky Notes 5Pack"/>
    <x v="4"/>
    <x v="0"/>
    <s v="Notes"/>
    <n v="26752"/>
    <n v="16416"/>
    <n v="55"/>
    <n v="17"/>
    <n v="152"/>
    <n v="18"/>
    <n v="5"/>
    <x v="0"/>
    <x v="0"/>
    <s v="Delhi"/>
    <n v="6"/>
    <s v="NO"/>
    <n v="750"/>
  </r>
  <r>
    <s v="MSH00245"/>
    <x v="117"/>
    <s v="Skipping Rope"/>
    <x v="3"/>
    <x v="1"/>
    <s v="Rope"/>
    <n v="77720"/>
    <n v="54172"/>
    <n v="60"/>
    <n v="90"/>
    <n v="116"/>
    <n v="13"/>
    <n v="5"/>
    <x v="0"/>
    <x v="9"/>
    <s v="Mumbai"/>
    <n v="3"/>
    <s v="NO"/>
    <n v="1000"/>
  </r>
  <r>
    <s v="MSH00246"/>
    <x v="176"/>
    <s v="Puzzle 100pc"/>
    <x v="1"/>
    <x v="1"/>
    <s v="Puzzle"/>
    <n v="56628"/>
    <n v="27768"/>
    <n v="35"/>
    <n v="148"/>
    <n v="52"/>
    <n v="4"/>
    <n v="1"/>
    <x v="0"/>
    <x v="0"/>
    <s v="Delhi"/>
    <n v="5"/>
    <s v="YES"/>
    <n v="300"/>
  </r>
  <r>
    <s v="MSH00247"/>
    <x v="176"/>
    <s v="Pen Set 10pc"/>
    <x v="4"/>
    <x v="0"/>
    <s v="Pen"/>
    <n v="60180"/>
    <n v="37760"/>
    <n v="35"/>
    <n v="149"/>
    <n v="59"/>
    <n v="7"/>
    <n v="1"/>
    <x v="0"/>
    <x v="0"/>
    <s v="Delhi"/>
    <n v="3"/>
    <s v="NO"/>
    <n v="300"/>
  </r>
  <r>
    <s v="MSH00248"/>
    <x v="177"/>
    <s v="Wall Clock Wooden"/>
    <x v="7"/>
    <x v="1"/>
    <s v="Decor"/>
    <n v="10795"/>
    <n v="6630"/>
    <n v="45"/>
    <n v="11"/>
    <n v="85"/>
    <n v="5"/>
    <n v="3"/>
    <x v="1"/>
    <x v="1"/>
    <s v="Patna"/>
    <n v="3"/>
    <s v="NO"/>
    <n v="0"/>
  </r>
  <r>
    <s v="MSH00249"/>
    <x v="170"/>
    <s v="Water Bottle 1L"/>
    <x v="3"/>
    <x v="0"/>
    <s v="Bottle"/>
    <n v="28350"/>
    <n v="14175"/>
    <n v="70"/>
    <n v="42"/>
    <n v="81"/>
    <n v="6"/>
    <n v="4"/>
    <x v="1"/>
    <x v="8"/>
    <s v="Bhopal"/>
    <n v="3"/>
    <s v="YES"/>
    <n v="300"/>
  </r>
  <r>
    <s v="MSH00250"/>
    <x v="178"/>
    <s v="Face Wash 100ml"/>
    <x v="6"/>
    <x v="0"/>
    <s v="Skincare"/>
    <n v="115104"/>
    <n v="58740"/>
    <n v="60"/>
    <n v="128"/>
    <n v="132"/>
    <n v="0"/>
    <n v="3"/>
    <x v="2"/>
    <x v="6"/>
    <s v="Ahmedabad"/>
    <n v="8"/>
    <s v="NO"/>
    <n v="0"/>
  </r>
  <r>
    <s v="MSH00251"/>
    <x v="28"/>
    <s v="Sticky Notes 5Pack"/>
    <x v="4"/>
    <x v="1"/>
    <s v="Notes"/>
    <n v="25954"/>
    <n v="16226"/>
    <n v="55"/>
    <n v="67"/>
    <n v="38"/>
    <n v="2"/>
    <n v="0"/>
    <x v="0"/>
    <x v="8"/>
    <s v="Bhopal"/>
    <n v="5"/>
    <s v="NO"/>
    <n v="1000"/>
  </r>
  <r>
    <s v="MSH00252"/>
    <x v="131"/>
    <s v="Earrings Combo 5pc"/>
    <x v="5"/>
    <x v="0"/>
    <s v="Earrings"/>
    <n v="20064"/>
    <n v="10230"/>
    <n v="55"/>
    <n v="29"/>
    <n v="66"/>
    <n v="5"/>
    <n v="1"/>
    <x v="0"/>
    <x v="1"/>
    <s v="Patna"/>
    <n v="8"/>
    <s v="YES"/>
    <n v="0"/>
  </r>
  <r>
    <s v="MSH00253"/>
    <x v="145"/>
    <s v="Soft Toy Bear"/>
    <x v="1"/>
    <x v="1"/>
    <s v="Plush"/>
    <n v="83810"/>
    <n v="44370"/>
    <n v="55"/>
    <n v="66"/>
    <n v="145"/>
    <n v="12"/>
    <n v="3"/>
    <x v="0"/>
    <x v="5"/>
    <s v="Chennai"/>
    <n v="6"/>
    <s v="NO"/>
    <n v="0"/>
  </r>
  <r>
    <s v="MSH00254"/>
    <x v="179"/>
    <s v="Pen Set 10pc"/>
    <x v="4"/>
    <x v="0"/>
    <s v="Pen"/>
    <n v="4505"/>
    <n v="2159"/>
    <n v="80"/>
    <n v="27"/>
    <n v="17"/>
    <n v="2"/>
    <n v="0"/>
    <x v="2"/>
    <x v="8"/>
    <s v="Bhopal"/>
    <n v="7"/>
    <s v="YES"/>
    <n v="500"/>
  </r>
  <r>
    <s v="MSH00255"/>
    <x v="180"/>
    <s v="Anklet Pair"/>
    <x v="5"/>
    <x v="1"/>
    <s v="Anklet"/>
    <n v="48280"/>
    <n v="25840"/>
    <n v="45"/>
    <n v="82"/>
    <n v="68"/>
    <n v="5"/>
    <n v="2"/>
    <x v="2"/>
    <x v="3"/>
    <s v="Kolkata"/>
    <n v="4"/>
    <s v="NO"/>
    <n v="300"/>
  </r>
  <r>
    <s v="MSH00256"/>
    <x v="181"/>
    <s v="Denim Jeans Men"/>
    <x v="0"/>
    <x v="0"/>
    <s v="Men Bottom"/>
    <n v="18232"/>
    <n v="12084"/>
    <n v="50"/>
    <n v="31"/>
    <n v="53"/>
    <n v="6"/>
    <n v="0"/>
    <x v="0"/>
    <x v="9"/>
    <s v="Mumbai"/>
    <n v="8"/>
    <s v="NO"/>
    <n v="1000"/>
  </r>
  <r>
    <s v="MSH00257"/>
    <x v="6"/>
    <s v="Pop Socket Grip"/>
    <x v="2"/>
    <x v="1"/>
    <s v="Mobile"/>
    <n v="22920"/>
    <n v="10590"/>
    <n v="40"/>
    <n v="98"/>
    <n v="30"/>
    <n v="2"/>
    <n v="1"/>
    <x v="1"/>
    <x v="8"/>
    <s v="Bhopal"/>
    <n v="5"/>
    <s v="YES"/>
    <n v="1000"/>
  </r>
  <r>
    <s v="MSH00258"/>
    <x v="182"/>
    <s v="Water Bottle 1L"/>
    <x v="3"/>
    <x v="0"/>
    <s v="Bottle"/>
    <n v="83984"/>
    <n v="55929"/>
    <n v="50"/>
    <n v="56"/>
    <n v="181"/>
    <n v="17"/>
    <n v="2"/>
    <x v="0"/>
    <x v="8"/>
    <s v="Bhopal"/>
    <n v="8"/>
    <s v="NO"/>
    <n v="500"/>
  </r>
  <r>
    <s v="MSH00259"/>
    <x v="176"/>
    <s v="Notebook A5 Pack"/>
    <x v="4"/>
    <x v="1"/>
    <s v="Notebook"/>
    <n v="40299"/>
    <n v="27775"/>
    <n v="45"/>
    <n v="50"/>
    <n v="101"/>
    <n v="10"/>
    <n v="4"/>
    <x v="2"/>
    <x v="1"/>
    <s v="Patna"/>
    <n v="4"/>
    <s v="NO"/>
    <n v="0"/>
  </r>
  <r>
    <s v="MSH00260"/>
    <x v="183"/>
    <s v="USB Cable 3in1"/>
    <x v="2"/>
    <x v="0"/>
    <s v="Cable"/>
    <n v="44940"/>
    <n v="24717"/>
    <n v="80"/>
    <n v="57"/>
    <n v="107"/>
    <n v="8"/>
    <n v="3"/>
    <x v="2"/>
    <x v="2"/>
    <s v="Lucknow"/>
    <n v="4"/>
    <s v="NO"/>
    <n v="100"/>
  </r>
  <r>
    <s v="MSH00261"/>
    <x v="184"/>
    <s v="Bangles Set"/>
    <x v="5"/>
    <x v="0"/>
    <s v="Bangles"/>
    <n v="9660"/>
    <n v="4494"/>
    <n v="80"/>
    <n v="54"/>
    <n v="21"/>
    <n v="2"/>
    <n v="0"/>
    <x v="1"/>
    <x v="1"/>
    <s v="Patna"/>
    <n v="8"/>
    <s v="NO"/>
    <n v="100"/>
  </r>
  <r>
    <s v="MSH00262"/>
    <x v="23"/>
    <s v="USB Cable 3in1"/>
    <x v="2"/>
    <x v="0"/>
    <s v="Cable"/>
    <n v="160448"/>
    <n v="93288"/>
    <n v="45"/>
    <n v="72"/>
    <n v="184"/>
    <n v="10"/>
    <n v="7"/>
    <x v="2"/>
    <x v="9"/>
    <s v="Mumbai"/>
    <n v="8"/>
    <s v="NO"/>
    <n v="1000"/>
  </r>
  <r>
    <s v="MSH00263"/>
    <x v="185"/>
    <s v="File Folder Set"/>
    <x v="4"/>
    <x v="1"/>
    <s v="Folder"/>
    <n v="77672"/>
    <n v="40953"/>
    <n v="60"/>
    <n v="121"/>
    <n v="73"/>
    <n v="7"/>
    <n v="2"/>
    <x v="0"/>
    <x v="9"/>
    <s v="Mumbai"/>
    <n v="5"/>
    <s v="NO"/>
    <n v="300"/>
  </r>
  <r>
    <s v="MSH00264"/>
    <x v="13"/>
    <s v="Water Bottle 1L"/>
    <x v="3"/>
    <x v="0"/>
    <s v="Bottle"/>
    <n v="84255"/>
    <n v="52334"/>
    <n v="80"/>
    <n v="90"/>
    <n v="137"/>
    <n v="0"/>
    <n v="6"/>
    <x v="2"/>
    <x v="2"/>
    <s v="Lucknow"/>
    <n v="7"/>
    <s v="NO"/>
    <n v="200"/>
  </r>
  <r>
    <s v="MSH00265"/>
    <x v="147"/>
    <s v="Pen Set 10pc"/>
    <x v="4"/>
    <x v="1"/>
    <s v="Pen"/>
    <n v="10185"/>
    <n v="6230"/>
    <n v="70"/>
    <n v="28"/>
    <n v="35"/>
    <n v="1"/>
    <n v="1"/>
    <x v="2"/>
    <x v="0"/>
    <s v="Delhi"/>
    <n v="3"/>
    <s v="NO"/>
    <n v="750"/>
  </r>
  <r>
    <s v="MSH00266"/>
    <x v="186"/>
    <s v="Kajal Waterproof"/>
    <x v="6"/>
    <x v="0"/>
    <s v="Eyes"/>
    <n v="29468"/>
    <n v="17861"/>
    <n v="50"/>
    <n v="57"/>
    <n v="53"/>
    <n v="4"/>
    <n v="0"/>
    <x v="0"/>
    <x v="7"/>
    <s v="Jaipur"/>
    <n v="4"/>
    <s v="YES"/>
    <n v="300"/>
  </r>
  <r>
    <s v="MSH00267"/>
    <x v="187"/>
    <s v="Palazzo Set"/>
    <x v="0"/>
    <x v="1"/>
    <s v="Women Ethnic"/>
    <n v="19028"/>
    <n v="10224"/>
    <n v="55"/>
    <n v="18"/>
    <n v="142"/>
    <n v="14"/>
    <n v="0"/>
    <x v="0"/>
    <x v="2"/>
    <s v="Lucknow"/>
    <n v="5"/>
    <s v="YES"/>
    <n v="100"/>
  </r>
  <r>
    <s v="MSH00268"/>
    <x v="188"/>
    <s v="Curtain Set 2pc"/>
    <x v="7"/>
    <x v="0"/>
    <s v="Window"/>
    <n v="89044"/>
    <n v="58509"/>
    <n v="40"/>
    <n v="67"/>
    <n v="197"/>
    <n v="12"/>
    <n v="7"/>
    <x v="0"/>
    <x v="3"/>
    <s v="Kolkata"/>
    <n v="8"/>
    <s v="YES"/>
    <n v="200"/>
  </r>
  <r>
    <s v="MSH00269"/>
    <x v="89"/>
    <s v="Notebook A5 Pack"/>
    <x v="4"/>
    <x v="1"/>
    <s v="Notebook"/>
    <n v="72850"/>
    <n v="35650"/>
    <n v="35"/>
    <n v="62"/>
    <n v="155"/>
    <n v="3"/>
    <n v="4"/>
    <x v="2"/>
    <x v="8"/>
    <s v="Bhopal"/>
    <n v="3"/>
    <s v="NO"/>
    <n v="200"/>
  </r>
  <r>
    <s v="MSH00270"/>
    <x v="189"/>
    <s v="File Folder Set"/>
    <x v="4"/>
    <x v="0"/>
    <s v="Folder"/>
    <n v="9086"/>
    <n v="4697"/>
    <n v="40"/>
    <n v="13"/>
    <n v="77"/>
    <n v="0"/>
    <n v="3"/>
    <x v="0"/>
    <x v="1"/>
    <s v="Patna"/>
    <n v="4"/>
    <s v="NO"/>
    <n v="500"/>
  </r>
  <r>
    <s v="MSH00271"/>
    <x v="190"/>
    <s v="Kids Frock"/>
    <x v="0"/>
    <x v="1"/>
    <s v="Kids Girls"/>
    <n v="36778"/>
    <n v="23014"/>
    <n v="40"/>
    <n v="44"/>
    <n v="74"/>
    <n v="8"/>
    <n v="2"/>
    <x v="1"/>
    <x v="2"/>
    <s v="Lucknow"/>
    <n v="8"/>
    <s v="NO"/>
    <n v="200"/>
  </r>
  <r>
    <s v="MSH00272"/>
    <x v="191"/>
    <s v="Men Casual Shirt"/>
    <x v="0"/>
    <x v="0"/>
    <s v="Men Top"/>
    <n v="38440"/>
    <n v="22506"/>
    <n v="80"/>
    <n v="58"/>
    <n v="62"/>
    <n v="5"/>
    <n v="2"/>
    <x v="0"/>
    <x v="4"/>
    <s v="Bangalore"/>
    <n v="7"/>
    <s v="NO"/>
    <n v="300"/>
  </r>
  <r>
    <s v="MSH00273"/>
    <x v="95"/>
    <s v="Face Wash 100ml"/>
    <x v="6"/>
    <x v="0"/>
    <s v="Skincare"/>
    <n v="7809"/>
    <n v="4408"/>
    <n v="70"/>
    <n v="54"/>
    <n v="19"/>
    <n v="1"/>
    <n v="0"/>
    <x v="0"/>
    <x v="0"/>
    <s v="Delhi"/>
    <n v="7"/>
    <s v="YES"/>
    <n v="750"/>
  </r>
  <r>
    <s v="MSH00274"/>
    <x v="192"/>
    <s v="USB Cable 3in1"/>
    <x v="2"/>
    <x v="1"/>
    <s v="Cable"/>
    <n v="27216"/>
    <n v="13008"/>
    <n v="40"/>
    <n v="47"/>
    <n v="48"/>
    <n v="0"/>
    <n v="0"/>
    <x v="2"/>
    <x v="1"/>
    <s v="Patna"/>
    <n v="3"/>
    <s v="NO"/>
    <n v="200"/>
  </r>
  <r>
    <s v="MSH00275"/>
    <x v="193"/>
    <s v="Building Blocks"/>
    <x v="1"/>
    <x v="1"/>
    <s v="Educational"/>
    <n v="54264"/>
    <n v="29376"/>
    <n v="40"/>
    <n v="65"/>
    <n v="68"/>
    <n v="7"/>
    <n v="0"/>
    <x v="1"/>
    <x v="5"/>
    <s v="Chennai"/>
    <n v="8"/>
    <s v="YES"/>
    <n v="500"/>
  </r>
  <r>
    <s v="MSH00276"/>
    <x v="194"/>
    <s v="Building Blocks"/>
    <x v="1"/>
    <x v="0"/>
    <s v="Educational"/>
    <n v="8853"/>
    <n v="4173"/>
    <n v="50"/>
    <n v="33"/>
    <n v="39"/>
    <n v="1"/>
    <n v="1"/>
    <x v="0"/>
    <x v="4"/>
    <s v="Bangalore"/>
    <n v="8"/>
    <s v="NO"/>
    <n v="200"/>
  </r>
  <r>
    <s v="MSH00277"/>
    <x v="36"/>
    <s v="Denim Jeans Men"/>
    <x v="0"/>
    <x v="1"/>
    <s v="Men Bottom"/>
    <n v="47367"/>
    <n v="26733"/>
    <n v="70"/>
    <n v="118"/>
    <n v="57"/>
    <n v="4"/>
    <n v="1"/>
    <x v="1"/>
    <x v="5"/>
    <s v="Chennai"/>
    <n v="7"/>
    <s v="NO"/>
    <n v="100"/>
  </r>
  <r>
    <s v="MSH00278"/>
    <x v="92"/>
    <s v="Skipping Rope"/>
    <x v="3"/>
    <x v="0"/>
    <s v="Rope"/>
    <n v="68034"/>
    <n v="42987"/>
    <n v="50"/>
    <n v="118"/>
    <n v="69"/>
    <n v="8"/>
    <n v="2"/>
    <x v="0"/>
    <x v="6"/>
    <s v="Ahmedabad"/>
    <n v="3"/>
    <s v="NO"/>
    <n v="1000"/>
  </r>
  <r>
    <s v="MSH00279"/>
    <x v="195"/>
    <s v="Building Blocks"/>
    <x v="1"/>
    <x v="0"/>
    <s v="Educational"/>
    <n v="6600"/>
    <n v="4600"/>
    <n v="50"/>
    <n v="46"/>
    <n v="20"/>
    <n v="2"/>
    <n v="0"/>
    <x v="1"/>
    <x v="8"/>
    <s v="Bhopal"/>
    <n v="4"/>
    <s v="YES"/>
    <n v="1000"/>
  </r>
  <r>
    <s v="MSH00280"/>
    <x v="65"/>
    <s v="Necklace Oxidised"/>
    <x v="5"/>
    <x v="1"/>
    <s v="Necklace"/>
    <n v="68600"/>
    <n v="37800"/>
    <n v="50"/>
    <n v="45"/>
    <n v="200"/>
    <n v="15"/>
    <n v="2"/>
    <x v="0"/>
    <x v="2"/>
    <s v="Lucknow"/>
    <n v="8"/>
    <s v="YES"/>
    <n v="300"/>
  </r>
  <r>
    <s v="MSH00281"/>
    <x v="196"/>
    <s v="Resistance Band Set"/>
    <x v="3"/>
    <x v="0"/>
    <s v="Band"/>
    <n v="88387"/>
    <n v="58981"/>
    <n v="50"/>
    <n v="69"/>
    <n v="169"/>
    <n v="20"/>
    <n v="6"/>
    <x v="2"/>
    <x v="8"/>
    <s v="Bhopal"/>
    <n v="7"/>
    <s v="NO"/>
    <n v="0"/>
  </r>
  <r>
    <s v="MSH00282"/>
    <x v="197"/>
    <s v="Bed Sheet King"/>
    <x v="7"/>
    <x v="1"/>
    <s v="Bedding"/>
    <n v="178038"/>
    <n v="97524"/>
    <n v="80"/>
    <n v="146"/>
    <n v="162"/>
    <n v="2"/>
    <n v="3"/>
    <x v="0"/>
    <x v="9"/>
    <s v="Mumbai"/>
    <n v="4"/>
    <s v="NO"/>
    <n v="750"/>
  </r>
  <r>
    <s v="MSH00283"/>
    <x v="9"/>
    <s v="Puzzle 100pc"/>
    <x v="1"/>
    <x v="0"/>
    <s v="Puzzle"/>
    <n v="47196"/>
    <n v="27186"/>
    <n v="45"/>
    <n v="46"/>
    <n v="138"/>
    <n v="6"/>
    <n v="3"/>
    <x v="0"/>
    <x v="0"/>
    <s v="Delhi"/>
    <n v="3"/>
    <s v="NO"/>
    <n v="200"/>
  </r>
  <r>
    <s v="MSH00284"/>
    <x v="161"/>
    <s v="Night Suit Women"/>
    <x v="0"/>
    <x v="1"/>
    <s v="Women Lounge"/>
    <n v="95368"/>
    <n v="51142"/>
    <n v="60"/>
    <n v="55"/>
    <n v="182"/>
    <n v="9"/>
    <n v="2"/>
    <x v="2"/>
    <x v="3"/>
    <s v="Kolkata"/>
    <n v="3"/>
    <s v="NO"/>
    <n v="100"/>
  </r>
  <r>
    <s v="MSH00285"/>
    <x v="198"/>
    <s v="Palazzo Set"/>
    <x v="0"/>
    <x v="0"/>
    <s v="Women Ethnic"/>
    <n v="10736"/>
    <n v="6512"/>
    <n v="45"/>
    <n v="17"/>
    <n v="88"/>
    <n v="5"/>
    <n v="0"/>
    <x v="2"/>
    <x v="2"/>
    <s v="Lucknow"/>
    <n v="5"/>
    <s v="NO"/>
    <n v="1000"/>
  </r>
  <r>
    <s v="MSH00286"/>
    <x v="199"/>
    <s v="Bangles Set"/>
    <x v="5"/>
    <x v="1"/>
    <s v="Bangles"/>
    <n v="137082"/>
    <n v="80538"/>
    <n v="45"/>
    <n v="95"/>
    <n v="186"/>
    <n v="12"/>
    <n v="9"/>
    <x v="2"/>
    <x v="9"/>
    <s v="Mumbai"/>
    <n v="3"/>
    <s v="YES"/>
    <n v="300"/>
  </r>
  <r>
    <s v="MSH00287"/>
    <x v="81"/>
    <s v="Kids Frock"/>
    <x v="0"/>
    <x v="0"/>
    <s v="Kids Girls"/>
    <n v="215757"/>
    <n v="100650"/>
    <n v="55"/>
    <n v="149"/>
    <n v="183"/>
    <n v="3"/>
    <n v="0"/>
    <x v="0"/>
    <x v="6"/>
    <s v="Ahmedabad"/>
    <n v="7"/>
    <s v="NO"/>
    <n v="200"/>
  </r>
  <r>
    <s v="MSH00288"/>
    <x v="200"/>
    <s v="Soft Toy Bear"/>
    <x v="1"/>
    <x v="1"/>
    <s v="Plush"/>
    <n v="35850"/>
    <n v="24750"/>
    <n v="35"/>
    <n v="20"/>
    <n v="150"/>
    <n v="10"/>
    <n v="7"/>
    <x v="1"/>
    <x v="8"/>
    <s v="Bhopal"/>
    <n v="8"/>
    <s v="NO"/>
    <n v="0"/>
  </r>
  <r>
    <s v="MSH00289"/>
    <x v="170"/>
    <s v="Toy Car Set Kids"/>
    <x v="1"/>
    <x v="0"/>
    <s v="Vehicle"/>
    <n v="12126"/>
    <n v="8084"/>
    <n v="35"/>
    <n v="21"/>
    <n v="86"/>
    <n v="2"/>
    <n v="2"/>
    <x v="0"/>
    <x v="6"/>
    <s v="Ahmedabad"/>
    <n v="7"/>
    <s v="NO"/>
    <n v="0"/>
  </r>
  <r>
    <s v="MSH00290"/>
    <x v="80"/>
    <s v="Anklet Pair"/>
    <x v="5"/>
    <x v="0"/>
    <s v="Anklet"/>
    <n v="12576"/>
    <n v="6624"/>
    <n v="60"/>
    <n v="29"/>
    <n v="48"/>
    <n v="5"/>
    <n v="0"/>
    <x v="0"/>
    <x v="7"/>
    <s v="Jaipur"/>
    <n v="8"/>
    <s v="NO"/>
    <n v="100"/>
  </r>
  <r>
    <s v="MSH00291"/>
    <x v="105"/>
    <s v="Bed Sheet King"/>
    <x v="7"/>
    <x v="0"/>
    <s v="Bedding"/>
    <n v="52624"/>
    <n v="27872"/>
    <n v="40"/>
    <n v="94"/>
    <n v="52"/>
    <n v="6"/>
    <n v="1"/>
    <x v="2"/>
    <x v="3"/>
    <s v="Kolkata"/>
    <n v="8"/>
    <s v="NO"/>
    <n v="300"/>
  </r>
  <r>
    <s v="MSH00292"/>
    <x v="7"/>
    <s v="Earrings Combo 5pc"/>
    <x v="5"/>
    <x v="1"/>
    <s v="Earrings"/>
    <n v="40698"/>
    <n v="25992"/>
    <n v="55"/>
    <n v="29"/>
    <n v="171"/>
    <n v="19"/>
    <n v="3"/>
    <x v="2"/>
    <x v="1"/>
    <s v="Patna"/>
    <n v="8"/>
    <s v="YES"/>
    <n v="500"/>
  </r>
  <r>
    <s v="MSH00293"/>
    <x v="201"/>
    <s v="Skipping Rope"/>
    <x v="3"/>
    <x v="0"/>
    <s v="Rope"/>
    <n v="64022"/>
    <n v="31059"/>
    <n v="50"/>
    <n v="52"/>
    <n v="119"/>
    <n v="14"/>
    <n v="2"/>
    <x v="0"/>
    <x v="0"/>
    <s v="Delhi"/>
    <n v="3"/>
    <s v="NO"/>
    <n v="200"/>
  </r>
  <r>
    <s v="MSH00294"/>
    <x v="119"/>
    <s v="Yoga Mat 6mm"/>
    <x v="3"/>
    <x v="1"/>
    <s v="Mat"/>
    <n v="37720"/>
    <n v="24265"/>
    <n v="70"/>
    <n v="43"/>
    <n v="115"/>
    <n v="11"/>
    <n v="4"/>
    <x v="2"/>
    <x v="3"/>
    <s v="Kolkata"/>
    <n v="6"/>
    <s v="YES"/>
    <n v="0"/>
  </r>
  <r>
    <s v="MSH00295"/>
    <x v="25"/>
    <s v="Men Casual Shirt"/>
    <x v="0"/>
    <x v="0"/>
    <s v="Men Top"/>
    <n v="68961"/>
    <n v="41910"/>
    <n v="35"/>
    <n v="51"/>
    <n v="127"/>
    <n v="9"/>
    <n v="6"/>
    <x v="0"/>
    <x v="9"/>
    <s v="Mumbai"/>
    <n v="6"/>
    <s v="NO"/>
    <n v="1000"/>
  </r>
  <r>
    <s v="MSH00296"/>
    <x v="202"/>
    <s v="Kajal Waterproof"/>
    <x v="6"/>
    <x v="1"/>
    <s v="Eyes"/>
    <n v="99395"/>
    <n v="57128"/>
    <n v="45"/>
    <n v="69"/>
    <n v="193"/>
    <n v="4"/>
    <n v="6"/>
    <x v="0"/>
    <x v="2"/>
    <s v="Lucknow"/>
    <n v="4"/>
    <s v="NO"/>
    <n v="1000"/>
  </r>
  <r>
    <s v="MSH00297"/>
    <x v="6"/>
    <s v="Palazzo Set"/>
    <x v="0"/>
    <x v="0"/>
    <s v="Women Ethnic"/>
    <n v="23230"/>
    <n v="15732"/>
    <n v="45"/>
    <n v="66"/>
    <n v="46"/>
    <n v="0"/>
    <n v="2"/>
    <x v="2"/>
    <x v="5"/>
    <s v="Chennai"/>
    <n v="8"/>
    <s v="NO"/>
    <n v="0"/>
  </r>
  <r>
    <s v="MSH00298"/>
    <x v="12"/>
    <s v="Notebook A5 Pack"/>
    <x v="4"/>
    <x v="1"/>
    <s v="Notebook"/>
    <n v="81984"/>
    <n v="40443"/>
    <n v="60"/>
    <n v="54"/>
    <n v="183"/>
    <n v="5"/>
    <n v="2"/>
    <x v="0"/>
    <x v="7"/>
    <s v="Jaipur"/>
    <n v="5"/>
    <s v="YES"/>
    <n v="750"/>
  </r>
  <r>
    <s v="MSH00299"/>
    <x v="203"/>
    <s v="Night Suit Women"/>
    <x v="0"/>
    <x v="0"/>
    <s v="Women Lounge"/>
    <n v="39050"/>
    <n v="24992"/>
    <n v="35"/>
    <n v="31"/>
    <n v="142"/>
    <n v="0"/>
    <n v="7"/>
    <x v="0"/>
    <x v="3"/>
    <s v="Kolkata"/>
    <n v="6"/>
    <s v="NO"/>
    <n v="1000"/>
  </r>
  <r>
    <s v="MSH00300"/>
    <x v="124"/>
    <s v="Anklet Pair"/>
    <x v="5"/>
    <x v="1"/>
    <s v="Anklet"/>
    <n v="21944"/>
    <n v="12948"/>
    <n v="50"/>
    <n v="35"/>
    <n v="52"/>
    <n v="5"/>
    <n v="1"/>
    <x v="1"/>
    <x v="4"/>
    <s v="Bangalore"/>
    <n v="7"/>
    <s v="NO"/>
    <n v="0"/>
  </r>
  <r>
    <s v="MSH00301"/>
    <x v="12"/>
    <s v="Men Casual Shirt"/>
    <x v="0"/>
    <x v="0"/>
    <s v="Men Top"/>
    <n v="20546"/>
    <n v="12948"/>
    <n v="50"/>
    <n v="35"/>
    <n v="52"/>
    <n v="5"/>
    <n v="1"/>
    <x v="1"/>
    <x v="3"/>
    <s v="Kolkata"/>
    <n v="8"/>
    <s v="NO"/>
    <n v="1"/>
  </r>
  <r>
    <s v="MSH00302"/>
    <x v="42"/>
    <s v="Yoga Mat 6mm"/>
    <x v="3"/>
    <x v="0"/>
    <s v="Mat"/>
    <n v="21849"/>
    <n v="12948"/>
    <n v="50"/>
    <n v="35"/>
    <n v="52"/>
    <n v="5"/>
    <n v="1"/>
    <x v="1"/>
    <x v="5"/>
    <s v="Chennai"/>
    <n v="9"/>
    <s v="NO"/>
    <n v="2"/>
  </r>
  <r>
    <s v="MSH00303"/>
    <x v="34"/>
    <s v="Bed Sheet King"/>
    <x v="7"/>
    <x v="1"/>
    <s v="Bedding"/>
    <n v="45896"/>
    <n v="12948"/>
    <n v="50"/>
    <n v="35"/>
    <n v="52"/>
    <n v="5"/>
    <n v="1"/>
    <x v="1"/>
    <x v="2"/>
    <s v="Lucknow"/>
    <n v="10"/>
    <s v="NO"/>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77487-0466-480B-8C81-8C9245F4524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2:U11" firstHeaderRow="1" firstDataRow="1" firstDataCol="1"/>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axis="axisRow" showAll="0">
      <items count="9">
        <item x="0"/>
        <item x="6"/>
        <item x="2"/>
        <item x="3"/>
        <item x="7"/>
        <item x="5"/>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Average of Delivery_Days" fld="16" subtotal="average" baseField="3" baseItem="4" numFmtId="2"/>
  </dataFields>
  <formats count="2">
    <format dxfId="5">
      <pivotArea collapsedLevelsAreSubtotals="1" fieldPosition="0">
        <references count="1">
          <reference field="3" count="1">
            <x v="4"/>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A891C-1131-43D2-9D7B-62BCF69007F3}" name="Month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B15" firstHeaderRow="1" firstDataRow="1" firstDataCol="1"/>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Orders_Count" fld="10" baseField="0" baseItem="0"/>
  </dataFields>
  <chartFormats count="4">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9CEA1-5B8F-447C-904E-2A6231EE34F6}" name="Total Cos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8:K9" firstHeaderRow="0" firstDataRow="1" firstDataCol="0"/>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Cost_Price" fld="7" baseField="0" baseItem="0"/>
    <dataField name="Sum of Shipping_Charge" fld="8" baseField="0" baseItem="0"/>
    <dataField name="Sum of Platform_Fee" fld="9" baseField="0" baseItem="0"/>
    <dataField name="Sum of Ad_Spen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CAD4A0-EB34-456A-BD32-E7981CB17EF6}" name="Total Sell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elling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999D13-11DE-4E32-AE27-8DCC1F09DA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15:I18" firstHeaderRow="1" firstDataRow="1" firstDataCol="1"/>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Orders_Count" fld="10" baseField="0" baseItem="0"/>
  </dataFields>
  <chartFormats count="6">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BD690A-6683-42D0-AF9F-36026F29F037}" name="Total 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4" firstHeaderRow="1" firstDataRow="1" firstDataCol="0"/>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Orders_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624DE-22B9-4FCD-AE6D-4B53969D3D1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23:K27" firstHeaderRow="1" firstDataRow="1" firstDataCol="1"/>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Count of Payment_Mode" fld="1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E6972-8525-449F-A936-CFAAE4A0C30E}"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Q2:R12" firstHeaderRow="1" firstDataRow="1" firstDataCol="1"/>
  <pivotFields count="21">
    <pivotField showAll="0"/>
    <pivotField showAll="0">
      <items count="205">
        <item x="149"/>
        <item x="85"/>
        <item x="88"/>
        <item x="154"/>
        <item x="182"/>
        <item x="48"/>
        <item x="0"/>
        <item x="78"/>
        <item x="59"/>
        <item x="10"/>
        <item x="49"/>
        <item x="75"/>
        <item x="93"/>
        <item x="194"/>
        <item x="145"/>
        <item x="2"/>
        <item x="132"/>
        <item x="139"/>
        <item x="197"/>
        <item x="41"/>
        <item x="4"/>
        <item x="190"/>
        <item x="56"/>
        <item x="50"/>
        <item x="63"/>
        <item x="64"/>
        <item x="200"/>
        <item x="102"/>
        <item x="52"/>
        <item x="46"/>
        <item x="141"/>
        <item x="7"/>
        <item x="51"/>
        <item x="198"/>
        <item x="159"/>
        <item x="21"/>
        <item x="29"/>
        <item x="203"/>
        <item x="195"/>
        <item x="108"/>
        <item x="37"/>
        <item x="187"/>
        <item x="134"/>
        <item x="19"/>
        <item x="17"/>
        <item x="184"/>
        <item x="47"/>
        <item x="70"/>
        <item x="201"/>
        <item x="109"/>
        <item x="33"/>
        <item x="188"/>
        <item x="151"/>
        <item x="31"/>
        <item x="142"/>
        <item x="15"/>
        <item x="90"/>
        <item x="18"/>
        <item x="62"/>
        <item x="53"/>
        <item x="163"/>
        <item x="77"/>
        <item x="130"/>
        <item x="100"/>
        <item x="26"/>
        <item x="147"/>
        <item x="6"/>
        <item x="106"/>
        <item x="65"/>
        <item x="166"/>
        <item x="140"/>
        <item x="16"/>
        <item x="76"/>
        <item x="180"/>
        <item x="181"/>
        <item x="61"/>
        <item x="170"/>
        <item x="20"/>
        <item x="86"/>
        <item x="167"/>
        <item x="82"/>
        <item x="13"/>
        <item x="91"/>
        <item x="111"/>
        <item x="95"/>
        <item x="101"/>
        <item x="152"/>
        <item x="128"/>
        <item x="104"/>
        <item x="67"/>
        <item x="192"/>
        <item x="189"/>
        <item x="22"/>
        <item x="54"/>
        <item x="112"/>
        <item x="45"/>
        <item x="150"/>
        <item x="138"/>
        <item x="196"/>
        <item x="148"/>
        <item x="28"/>
        <item x="69"/>
        <item x="136"/>
        <item x="126"/>
        <item x="60"/>
        <item x="68"/>
        <item x="116"/>
        <item x="113"/>
        <item x="178"/>
        <item x="3"/>
        <item x="143"/>
        <item x="146"/>
        <item x="162"/>
        <item x="9"/>
        <item x="11"/>
        <item x="92"/>
        <item x="129"/>
        <item x="1"/>
        <item x="32"/>
        <item x="99"/>
        <item x="175"/>
        <item x="58"/>
        <item x="39"/>
        <item x="23"/>
        <item x="110"/>
        <item x="43"/>
        <item x="55"/>
        <item x="120"/>
        <item x="57"/>
        <item x="94"/>
        <item x="87"/>
        <item x="119"/>
        <item x="71"/>
        <item x="81"/>
        <item x="84"/>
        <item x="73"/>
        <item x="30"/>
        <item x="24"/>
        <item x="125"/>
        <item x="103"/>
        <item x="174"/>
        <item x="35"/>
        <item x="191"/>
        <item x="123"/>
        <item x="156"/>
        <item x="131"/>
        <item x="171"/>
        <item x="153"/>
        <item x="14"/>
        <item x="98"/>
        <item x="144"/>
        <item x="185"/>
        <item x="160"/>
        <item x="121"/>
        <item x="199"/>
        <item x="124"/>
        <item x="12"/>
        <item x="42"/>
        <item x="34"/>
        <item x="168"/>
        <item x="25"/>
        <item x="117"/>
        <item x="107"/>
        <item x="8"/>
        <item x="80"/>
        <item x="72"/>
        <item x="172"/>
        <item x="133"/>
        <item x="5"/>
        <item x="66"/>
        <item x="118"/>
        <item x="158"/>
        <item x="38"/>
        <item x="157"/>
        <item x="176"/>
        <item x="186"/>
        <item x="169"/>
        <item x="193"/>
        <item x="114"/>
        <item x="36"/>
        <item x="96"/>
        <item x="135"/>
        <item x="202"/>
        <item x="164"/>
        <item x="155"/>
        <item x="105"/>
        <item x="115"/>
        <item x="127"/>
        <item x="173"/>
        <item x="44"/>
        <item x="137"/>
        <item x="161"/>
        <item x="40"/>
        <item x="177"/>
        <item x="89"/>
        <item x="79"/>
        <item x="165"/>
        <item x="179"/>
        <item x="83"/>
        <item x="27"/>
        <item x="74"/>
        <item x="97"/>
        <item x="183"/>
        <item x="122"/>
        <item t="default"/>
      </items>
    </pivotField>
    <pivotField showAll="0"/>
    <pivotField showAll="0">
      <items count="9">
        <item x="0"/>
        <item x="6"/>
        <item x="2"/>
        <item x="3"/>
        <item x="7"/>
        <item x="5"/>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15">
        <item x="1"/>
        <item x="0"/>
        <item x="6"/>
        <item x="4"/>
        <item x="9"/>
        <item m="1" x="13"/>
        <item x="7"/>
        <item m="1" x="12"/>
        <item m="1" x="10"/>
        <item m="1" x="11"/>
        <item x="2"/>
        <item x="3"/>
        <item x="5"/>
        <item x="8"/>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10">
    <i>
      <x/>
    </i>
    <i>
      <x v="1"/>
    </i>
    <i>
      <x v="2"/>
    </i>
    <i>
      <x v="3"/>
    </i>
    <i>
      <x v="4"/>
    </i>
    <i>
      <x v="6"/>
    </i>
    <i>
      <x v="10"/>
    </i>
    <i>
      <x v="11"/>
    </i>
    <i>
      <x v="12"/>
    </i>
    <i>
      <x v="13"/>
    </i>
  </rowItems>
  <colItems count="1">
    <i/>
  </colItems>
  <dataFields count="1">
    <dataField name="Count of Customer_State"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6CB1B7-D875-4281-98A4-9180B93A4F52}" sourceName="Category">
  <pivotTables>
    <pivotTable tabId="5" name="Total Selling"/>
    <pivotTable tabId="5" name="MonthTable"/>
    <pivotTable tabId="5" name="PivotTable10"/>
    <pivotTable tabId="5" name="PivotTable11"/>
    <pivotTable tabId="5" name="PivotTable1"/>
    <pivotTable tabId="5" name="Total Order"/>
    <pivotTable tabId="5" name="Total Cost"/>
    <pivotTable tabId="5" name="PivotTable3"/>
  </pivotTables>
  <data>
    <tabular pivotCacheId="1004222296">
      <items count="8">
        <i x="0" s="1"/>
        <i x="6" s="1"/>
        <i x="2" s="1"/>
        <i x="3" s="1"/>
        <i x="7" s="1"/>
        <i x="5"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73F0FC-EE8D-4F64-8F30-856583A0BFD8}" sourceName="Gender">
  <pivotTables>
    <pivotTable tabId="5" name="PivotTable1"/>
    <pivotTable tabId="5" name="MonthTable"/>
    <pivotTable tabId="5" name="PivotTable10"/>
    <pivotTable tabId="5" name="PivotTable11"/>
    <pivotTable tabId="5" name="Total Selling"/>
    <pivotTable tabId="5" name="Total Order"/>
    <pivotTable tabId="5" name="Total Cost"/>
    <pivotTable tabId="5" name="PivotTable3"/>
  </pivotTables>
  <data>
    <tabular pivotCacheId="10042222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73A68F9-0662-4610-8A19-302D21D4369B}" cache="Slicer_Category" caption="Category" style="SlicerStyleDark4" rowHeight="234950"/>
  <slicer name="Gender" xr10:uid="{2CD90367-C88B-44EF-BE6D-919C3A8F7631}" cache="Slicer_Gender" caption="Gender"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0621F3-13BC-44E4-9613-7DBA2DB9F3B9}"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DBE0AA-1B44-4984-BED2-9BBD8B747287}" name="Table1" displayName="Table1" ref="A1:S304" totalsRowShown="0" headerRowDxfId="27" dataDxfId="26" tableBorderDxfId="25">
  <autoFilter ref="A1:S304" xr:uid="{F1DBE0AA-1B44-4984-BED2-9BBD8B747287}"/>
  <tableColumns count="19">
    <tableColumn id="1" xr3:uid="{7BA35A0E-6CE4-4DCE-ACBB-9281FB7B0DC8}" name="Order_ID" dataDxfId="24"/>
    <tableColumn id="2" xr3:uid="{A3035968-5127-4DCD-819F-AD58B29F7734}" name="Order_Date" dataDxfId="23"/>
    <tableColumn id="3" xr3:uid="{A38B2861-869A-4051-97C5-A87EB34930BF}" name="Product_Name" dataDxfId="22"/>
    <tableColumn id="4" xr3:uid="{BB49EBA6-BF3A-4AB0-91FA-DDE033BA5BCE}" name="Category" dataDxfId="21"/>
    <tableColumn id="19" xr3:uid="{5861756B-885C-4699-B932-89A71B8B3667}" name="Gender" dataDxfId="20"/>
    <tableColumn id="5" xr3:uid="{B616B044-12B0-4D38-87D3-A03C8C634023}" name="Sub_Category" dataDxfId="19"/>
    <tableColumn id="6" xr3:uid="{70995DD3-ECBD-40F9-B2D0-F36B41E59B73}" name="Selling_Price" dataDxfId="18"/>
    <tableColumn id="7" xr3:uid="{EB56644B-4A09-4560-8E88-74F1C545793D}" name="Cost_Price" dataDxfId="17"/>
    <tableColumn id="8" xr3:uid="{8E101132-785B-4CFF-A5A6-EEC477863794}" name="Shipping_Charge" dataDxfId="16"/>
    <tableColumn id="9" xr3:uid="{08331D4C-9B1A-4170-87D7-6B6A870BA5BD}" name="Platform_Fee" dataDxfId="15"/>
    <tableColumn id="10" xr3:uid="{A305ECB0-E0D5-4440-ABCD-434C43D055AA}" name="Orders_Count" dataDxfId="14"/>
    <tableColumn id="11" xr3:uid="{A87C0A66-CF6F-4B86-AB6D-B8EAE79298F0}" name="Returns_Count" dataDxfId="13"/>
    <tableColumn id="12" xr3:uid="{1466843B-F5D0-46B3-87ED-F381D88EC298}" name="Cancelled_Orders" dataDxfId="12"/>
    <tableColumn id="13" xr3:uid="{4EEF3F20-1844-4844-A2BF-F621D8103863}" name="Payment_Mode" dataDxfId="11"/>
    <tableColumn id="14" xr3:uid="{37D137C6-D324-48EB-90EE-481F16B42E9D}" name="Customer_State" dataDxfId="10"/>
    <tableColumn id="15" xr3:uid="{4925FBA5-7F95-43E6-8054-EE5CDC45549D}" name="Customer_City" dataDxfId="9"/>
    <tableColumn id="16" xr3:uid="{54039872-433D-4BDE-81EA-B6664D968A1D}" name="Delivery_Days" dataDxfId="8"/>
    <tableColumn id="17" xr3:uid="{E222A5A7-F454-4E55-90F7-507C90CA7A51}" name="Coupon_Used" dataDxfId="7"/>
    <tableColumn id="18" xr3:uid="{FD6DC55C-3752-4B7F-96B2-336D0C42D631}" name="Ad_Spend"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BF5E23C-D01A-4DE5-92EC-ECEB1E2EC9D6}" sourceName="Order_Date">
  <pivotTables>
    <pivotTable tabId="5" name="MonthTable"/>
    <pivotTable tabId="5" name="PivotTable10"/>
    <pivotTable tabId="5" name="PivotTable11"/>
    <pivotTable tabId="5" name="Total Selling"/>
    <pivotTable tabId="5" name="PivotTable1"/>
    <pivotTable tabId="5" name="Total Order"/>
    <pivotTable tabId="5" name="Total Cost"/>
    <pivotTable tabId="5" name="PivotTable3"/>
  </pivotTables>
  <state minimalRefreshVersion="6" lastRefreshVersion="6" pivotCacheId="1004222296"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F748A88-6637-49BE-A1C6-0A2A6FC09A65}" cache="NativeTimeline_Order_Date" caption="Order_Date" level="2" selectionLevel="2" scrollPosition="2024-06-06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F27C6AF-D22F-4B06-B8AD-8309C20DA000}" cache="NativeTimeline_Order_Date" caption="Order_Date" level="2" selectionLevel="2"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14"/>
  <sheetViews>
    <sheetView zoomScale="85" zoomScaleNormal="85" workbookViewId="0">
      <pane ySplit="1" topLeftCell="A2" activePane="bottomLeft" state="frozen"/>
      <selection activeCell="B1" sqref="B1"/>
      <selection pane="bottomLeft"/>
    </sheetView>
  </sheetViews>
  <sheetFormatPr defaultRowHeight="14.4" x14ac:dyDescent="0.3"/>
  <cols>
    <col min="1" max="1" width="19.5546875" bestFit="1" customWidth="1"/>
    <col min="2" max="2" width="22.5546875" bestFit="1" customWidth="1"/>
    <col min="3" max="3" width="26.21875" bestFit="1" customWidth="1"/>
    <col min="4" max="4" width="19.33203125" bestFit="1" customWidth="1"/>
    <col min="5" max="5" width="19.33203125" customWidth="1"/>
    <col min="6" max="6" width="24.77734375" bestFit="1" customWidth="1"/>
    <col min="7" max="7" width="23.109375" bestFit="1" customWidth="1"/>
    <col min="8" max="8" width="20.88671875" bestFit="1" customWidth="1"/>
    <col min="9" max="9" width="27.77734375" bestFit="1" customWidth="1"/>
    <col min="10" max="10" width="24.5546875" bestFit="1" customWidth="1"/>
    <col min="11" max="11" width="25.109375" bestFit="1" customWidth="1"/>
    <col min="12" max="12" width="26.21875" bestFit="1" customWidth="1"/>
    <col min="13" max="13" width="29.21875" bestFit="1" customWidth="1"/>
    <col min="14" max="14" width="27.21875" bestFit="1" customWidth="1"/>
    <col min="15" max="15" width="27.5546875" bestFit="1" customWidth="1"/>
    <col min="16" max="16" width="26" bestFit="1" customWidth="1"/>
    <col min="17" max="17" width="25" bestFit="1" customWidth="1"/>
    <col min="18" max="18" width="24.77734375" bestFit="1" customWidth="1"/>
    <col min="19" max="19" width="20.5546875" bestFit="1" customWidth="1"/>
    <col min="20" max="20" width="7.33203125" customWidth="1"/>
  </cols>
  <sheetData>
    <row r="1" spans="1:19" ht="18" x14ac:dyDescent="0.35">
      <c r="A1" s="32" t="s">
        <v>0</v>
      </c>
      <c r="B1" s="33" t="s">
        <v>1</v>
      </c>
      <c r="C1" s="33" t="s">
        <v>2</v>
      </c>
      <c r="D1" s="33" t="s">
        <v>3</v>
      </c>
      <c r="E1" s="33" t="s">
        <v>455</v>
      </c>
      <c r="F1" s="33" t="s">
        <v>4</v>
      </c>
      <c r="G1" s="33" t="s">
        <v>5</v>
      </c>
      <c r="H1" s="33" t="s">
        <v>6</v>
      </c>
      <c r="I1" s="33" t="s">
        <v>7</v>
      </c>
      <c r="J1" s="33" t="s">
        <v>8</v>
      </c>
      <c r="K1" s="33" t="s">
        <v>9</v>
      </c>
      <c r="L1" s="33" t="s">
        <v>10</v>
      </c>
      <c r="M1" s="33" t="s">
        <v>11</v>
      </c>
      <c r="N1" s="33" t="s">
        <v>12</v>
      </c>
      <c r="O1" s="33" t="s">
        <v>13</v>
      </c>
      <c r="P1" s="33" t="s">
        <v>14</v>
      </c>
      <c r="Q1" s="33" t="s">
        <v>15</v>
      </c>
      <c r="R1" s="33" t="s">
        <v>16</v>
      </c>
      <c r="S1" s="33" t="s">
        <v>17</v>
      </c>
    </row>
    <row r="2" spans="1:19" x14ac:dyDescent="0.3">
      <c r="A2" s="30" t="s">
        <v>18</v>
      </c>
      <c r="B2" s="27">
        <v>45304</v>
      </c>
      <c r="C2" s="26" t="s">
        <v>19</v>
      </c>
      <c r="D2" s="26" t="s">
        <v>20</v>
      </c>
      <c r="E2" s="26" t="s">
        <v>456</v>
      </c>
      <c r="F2" s="26" t="s">
        <v>21</v>
      </c>
      <c r="G2" s="26">
        <v>56364</v>
      </c>
      <c r="H2" s="26">
        <v>27258</v>
      </c>
      <c r="I2" s="26">
        <v>40</v>
      </c>
      <c r="J2" s="26">
        <v>47</v>
      </c>
      <c r="K2" s="26">
        <v>154</v>
      </c>
      <c r="L2" s="26">
        <v>18</v>
      </c>
      <c r="M2" s="26">
        <v>6</v>
      </c>
      <c r="N2" s="26" t="s">
        <v>22</v>
      </c>
      <c r="O2" s="26" t="s">
        <v>23</v>
      </c>
      <c r="P2" s="26" t="s">
        <v>23</v>
      </c>
      <c r="Q2" s="26">
        <v>4</v>
      </c>
      <c r="R2" s="26" t="s">
        <v>24</v>
      </c>
      <c r="S2" s="26">
        <v>200</v>
      </c>
    </row>
    <row r="3" spans="1:19" x14ac:dyDescent="0.3">
      <c r="A3" s="31" t="s">
        <v>25</v>
      </c>
      <c r="B3" s="29">
        <v>45506</v>
      </c>
      <c r="C3" s="28" t="s">
        <v>26</v>
      </c>
      <c r="D3" s="28" t="s">
        <v>27</v>
      </c>
      <c r="E3" s="28" t="s">
        <v>457</v>
      </c>
      <c r="F3" s="28" t="s">
        <v>28</v>
      </c>
      <c r="G3" s="28">
        <v>18150</v>
      </c>
      <c r="H3" s="28">
        <v>9405</v>
      </c>
      <c r="I3" s="28">
        <v>35</v>
      </c>
      <c r="J3" s="28">
        <v>44</v>
      </c>
      <c r="K3" s="28">
        <v>55</v>
      </c>
      <c r="L3" s="28">
        <v>2</v>
      </c>
      <c r="M3" s="28">
        <v>1</v>
      </c>
      <c r="N3" s="28" t="s">
        <v>22</v>
      </c>
      <c r="O3" s="28" t="s">
        <v>29</v>
      </c>
      <c r="P3" s="28" t="s">
        <v>30</v>
      </c>
      <c r="Q3" s="28">
        <v>3</v>
      </c>
      <c r="R3" s="28" t="s">
        <v>31</v>
      </c>
      <c r="S3" s="28">
        <v>500</v>
      </c>
    </row>
    <row r="4" spans="1:19" x14ac:dyDescent="0.3">
      <c r="A4" s="30" t="s">
        <v>32</v>
      </c>
      <c r="B4" s="27">
        <v>45314</v>
      </c>
      <c r="C4" s="26" t="s">
        <v>33</v>
      </c>
      <c r="D4" s="26" t="s">
        <v>34</v>
      </c>
      <c r="E4" s="26" t="s">
        <v>456</v>
      </c>
      <c r="F4" s="26" t="s">
        <v>35</v>
      </c>
      <c r="G4" s="26">
        <v>55350</v>
      </c>
      <c r="H4" s="26">
        <v>38340</v>
      </c>
      <c r="I4" s="26">
        <v>70</v>
      </c>
      <c r="J4" s="26">
        <v>53</v>
      </c>
      <c r="K4" s="26">
        <v>90</v>
      </c>
      <c r="L4" s="26">
        <v>9</v>
      </c>
      <c r="M4" s="26">
        <v>2</v>
      </c>
      <c r="N4" s="26" t="s">
        <v>36</v>
      </c>
      <c r="O4" s="26" t="s">
        <v>444</v>
      </c>
      <c r="P4" s="26" t="s">
        <v>37</v>
      </c>
      <c r="Q4" s="26">
        <v>8</v>
      </c>
      <c r="R4" s="26" t="s">
        <v>31</v>
      </c>
      <c r="S4" s="26">
        <v>100</v>
      </c>
    </row>
    <row r="5" spans="1:19" x14ac:dyDescent="0.3">
      <c r="A5" s="31" t="s">
        <v>38</v>
      </c>
      <c r="B5" s="29">
        <v>45486</v>
      </c>
      <c r="C5" s="28" t="s">
        <v>39</v>
      </c>
      <c r="D5" s="28" t="s">
        <v>20</v>
      </c>
      <c r="E5" s="28" t="s">
        <v>457</v>
      </c>
      <c r="F5" s="28" t="s">
        <v>40</v>
      </c>
      <c r="G5" s="28">
        <v>26996</v>
      </c>
      <c r="H5" s="28">
        <v>17748</v>
      </c>
      <c r="I5" s="28">
        <v>45</v>
      </c>
      <c r="J5" s="28">
        <v>42</v>
      </c>
      <c r="K5" s="28">
        <v>68</v>
      </c>
      <c r="L5" s="28">
        <v>1</v>
      </c>
      <c r="M5" s="28">
        <v>1</v>
      </c>
      <c r="N5" s="28" t="s">
        <v>41</v>
      </c>
      <c r="O5" s="28" t="s">
        <v>445</v>
      </c>
      <c r="P5" s="28" t="s">
        <v>42</v>
      </c>
      <c r="Q5" s="28">
        <v>6</v>
      </c>
      <c r="R5" s="28" t="s">
        <v>31</v>
      </c>
      <c r="S5" s="28">
        <v>100</v>
      </c>
    </row>
    <row r="6" spans="1:19" x14ac:dyDescent="0.3">
      <c r="A6" s="30" t="s">
        <v>43</v>
      </c>
      <c r="B6" s="27">
        <v>45320</v>
      </c>
      <c r="C6" s="26" t="s">
        <v>44</v>
      </c>
      <c r="D6" s="26" t="s">
        <v>45</v>
      </c>
      <c r="E6" s="26" t="s">
        <v>456</v>
      </c>
      <c r="F6" s="26" t="s">
        <v>46</v>
      </c>
      <c r="G6" s="26">
        <v>26013</v>
      </c>
      <c r="H6" s="26">
        <v>16974</v>
      </c>
      <c r="I6" s="26">
        <v>70</v>
      </c>
      <c r="J6" s="26">
        <v>37</v>
      </c>
      <c r="K6" s="26">
        <v>69</v>
      </c>
      <c r="L6" s="26">
        <v>5</v>
      </c>
      <c r="M6" s="26">
        <v>1</v>
      </c>
      <c r="N6" s="26" t="s">
        <v>41</v>
      </c>
      <c r="O6" s="26" t="s">
        <v>445</v>
      </c>
      <c r="P6" s="26" t="s">
        <v>42</v>
      </c>
      <c r="Q6" s="26">
        <v>4</v>
      </c>
      <c r="R6" s="26" t="s">
        <v>31</v>
      </c>
      <c r="S6" s="26">
        <v>750</v>
      </c>
    </row>
    <row r="7" spans="1:19" x14ac:dyDescent="0.3">
      <c r="A7" s="31" t="s">
        <v>47</v>
      </c>
      <c r="B7" s="29">
        <v>45590</v>
      </c>
      <c r="C7" s="28" t="s">
        <v>48</v>
      </c>
      <c r="D7" s="28" t="s">
        <v>49</v>
      </c>
      <c r="E7" s="28" t="s">
        <v>457</v>
      </c>
      <c r="F7" s="28" t="s">
        <v>50</v>
      </c>
      <c r="G7" s="28">
        <v>19456</v>
      </c>
      <c r="H7" s="28">
        <v>13604</v>
      </c>
      <c r="I7" s="28">
        <v>45</v>
      </c>
      <c r="J7" s="28">
        <v>59</v>
      </c>
      <c r="K7" s="28">
        <v>38</v>
      </c>
      <c r="L7" s="28">
        <v>0</v>
      </c>
      <c r="M7" s="28">
        <v>0</v>
      </c>
      <c r="N7" s="28" t="s">
        <v>22</v>
      </c>
      <c r="O7" s="28" t="s">
        <v>51</v>
      </c>
      <c r="P7" s="28" t="s">
        <v>52</v>
      </c>
      <c r="Q7" s="28">
        <v>3</v>
      </c>
      <c r="R7" s="28" t="s">
        <v>31</v>
      </c>
      <c r="S7" s="28">
        <v>750</v>
      </c>
    </row>
    <row r="8" spans="1:19" x14ac:dyDescent="0.3">
      <c r="A8" s="30" t="s">
        <v>53</v>
      </c>
      <c r="B8" s="27">
        <v>45420</v>
      </c>
      <c r="C8" s="26" t="s">
        <v>54</v>
      </c>
      <c r="D8" s="26" t="s">
        <v>27</v>
      </c>
      <c r="E8" s="26" t="s">
        <v>456</v>
      </c>
      <c r="F8" s="26" t="s">
        <v>55</v>
      </c>
      <c r="G8" s="26">
        <v>116128</v>
      </c>
      <c r="H8" s="26">
        <v>52592</v>
      </c>
      <c r="I8" s="26">
        <v>40</v>
      </c>
      <c r="J8" s="26">
        <v>98</v>
      </c>
      <c r="K8" s="26">
        <v>152</v>
      </c>
      <c r="L8" s="26">
        <v>10</v>
      </c>
      <c r="M8" s="26">
        <v>1</v>
      </c>
      <c r="N8" s="26" t="s">
        <v>41</v>
      </c>
      <c r="O8" s="26" t="s">
        <v>445</v>
      </c>
      <c r="P8" s="26" t="s">
        <v>42</v>
      </c>
      <c r="Q8" s="26">
        <v>3</v>
      </c>
      <c r="R8" s="26" t="s">
        <v>31</v>
      </c>
      <c r="S8" s="26">
        <v>100</v>
      </c>
    </row>
    <row r="9" spans="1:19" x14ac:dyDescent="0.3">
      <c r="A9" s="31" t="s">
        <v>56</v>
      </c>
      <c r="B9" s="29">
        <v>45346</v>
      </c>
      <c r="C9" s="28" t="s">
        <v>57</v>
      </c>
      <c r="D9" s="28" t="s">
        <v>27</v>
      </c>
      <c r="E9" s="28" t="s">
        <v>457</v>
      </c>
      <c r="F9" s="28" t="s">
        <v>58</v>
      </c>
      <c r="G9" s="28">
        <v>52416</v>
      </c>
      <c r="H9" s="28">
        <v>31976</v>
      </c>
      <c r="I9" s="28">
        <v>50</v>
      </c>
      <c r="J9" s="28">
        <v>85</v>
      </c>
      <c r="K9" s="28">
        <v>56</v>
      </c>
      <c r="L9" s="28">
        <v>6</v>
      </c>
      <c r="M9" s="28">
        <v>2</v>
      </c>
      <c r="N9" s="28" t="s">
        <v>36</v>
      </c>
      <c r="O9" s="28" t="s">
        <v>444</v>
      </c>
      <c r="P9" s="28" t="s">
        <v>37</v>
      </c>
      <c r="Q9" s="28">
        <v>3</v>
      </c>
      <c r="R9" s="28" t="s">
        <v>31</v>
      </c>
      <c r="S9" s="28">
        <v>1000</v>
      </c>
    </row>
    <row r="10" spans="1:19" x14ac:dyDescent="0.3">
      <c r="A10" s="30" t="s">
        <v>59</v>
      </c>
      <c r="B10" s="27">
        <v>45582</v>
      </c>
      <c r="C10" s="26" t="s">
        <v>60</v>
      </c>
      <c r="D10" s="26" t="s">
        <v>61</v>
      </c>
      <c r="E10" s="26" t="s">
        <v>456</v>
      </c>
      <c r="F10" s="26" t="s">
        <v>62</v>
      </c>
      <c r="G10" s="26">
        <v>25821</v>
      </c>
      <c r="H10" s="26">
        <v>14798</v>
      </c>
      <c r="I10" s="26">
        <v>40</v>
      </c>
      <c r="J10" s="26">
        <v>25</v>
      </c>
      <c r="K10" s="26">
        <v>151</v>
      </c>
      <c r="L10" s="26">
        <v>4</v>
      </c>
      <c r="M10" s="26">
        <v>7</v>
      </c>
      <c r="N10" s="26" t="s">
        <v>41</v>
      </c>
      <c r="O10" s="26" t="s">
        <v>447</v>
      </c>
      <c r="P10" s="26" t="s">
        <v>63</v>
      </c>
      <c r="Q10" s="26">
        <v>7</v>
      </c>
      <c r="R10" s="26" t="s">
        <v>31</v>
      </c>
      <c r="S10" s="26">
        <v>300</v>
      </c>
    </row>
    <row r="11" spans="1:19" x14ac:dyDescent="0.3">
      <c r="A11" s="31" t="s">
        <v>64</v>
      </c>
      <c r="B11" s="29">
        <v>45496</v>
      </c>
      <c r="C11" s="28" t="s">
        <v>65</v>
      </c>
      <c r="D11" s="28" t="s">
        <v>34</v>
      </c>
      <c r="E11" s="28" t="s">
        <v>457</v>
      </c>
      <c r="F11" s="28" t="s">
        <v>35</v>
      </c>
      <c r="G11" s="28">
        <v>76896</v>
      </c>
      <c r="H11" s="28">
        <v>43056</v>
      </c>
      <c r="I11" s="28">
        <v>80</v>
      </c>
      <c r="J11" s="28">
        <v>94</v>
      </c>
      <c r="K11" s="28">
        <v>72</v>
      </c>
      <c r="L11" s="28">
        <v>5</v>
      </c>
      <c r="M11" s="28">
        <v>0</v>
      </c>
      <c r="N11" s="28" t="s">
        <v>41</v>
      </c>
      <c r="O11" s="28" t="s">
        <v>444</v>
      </c>
      <c r="P11" s="28" t="s">
        <v>37</v>
      </c>
      <c r="Q11" s="28">
        <v>3</v>
      </c>
      <c r="R11" s="28" t="s">
        <v>31</v>
      </c>
      <c r="S11" s="28">
        <v>200</v>
      </c>
    </row>
    <row r="12" spans="1:19" x14ac:dyDescent="0.3">
      <c r="A12" s="30" t="s">
        <v>66</v>
      </c>
      <c r="B12" s="27">
        <v>45308</v>
      </c>
      <c r="C12" s="26" t="s">
        <v>67</v>
      </c>
      <c r="D12" s="26" t="s">
        <v>20</v>
      </c>
      <c r="E12" s="26" t="s">
        <v>456</v>
      </c>
      <c r="F12" s="26" t="s">
        <v>68</v>
      </c>
      <c r="G12" s="26">
        <v>19056</v>
      </c>
      <c r="H12" s="26">
        <v>9696</v>
      </c>
      <c r="I12" s="26">
        <v>80</v>
      </c>
      <c r="J12" s="26">
        <v>38</v>
      </c>
      <c r="K12" s="26">
        <v>48</v>
      </c>
      <c r="L12" s="26">
        <v>4</v>
      </c>
      <c r="M12" s="26">
        <v>1</v>
      </c>
      <c r="N12" s="26" t="s">
        <v>41</v>
      </c>
      <c r="O12" s="26" t="s">
        <v>23</v>
      </c>
      <c r="P12" s="26" t="s">
        <v>23</v>
      </c>
      <c r="Q12" s="26">
        <v>3</v>
      </c>
      <c r="R12" s="26" t="s">
        <v>31</v>
      </c>
      <c r="S12" s="26">
        <v>750</v>
      </c>
    </row>
    <row r="13" spans="1:19" x14ac:dyDescent="0.3">
      <c r="A13" s="31" t="s">
        <v>69</v>
      </c>
      <c r="B13" s="29">
        <v>45502</v>
      </c>
      <c r="C13" s="28" t="s">
        <v>48</v>
      </c>
      <c r="D13" s="28" t="s">
        <v>49</v>
      </c>
      <c r="E13" s="28" t="s">
        <v>456</v>
      </c>
      <c r="F13" s="28" t="s">
        <v>50</v>
      </c>
      <c r="G13" s="28">
        <v>69589</v>
      </c>
      <c r="H13" s="28">
        <v>32219</v>
      </c>
      <c r="I13" s="28">
        <v>40</v>
      </c>
      <c r="J13" s="28">
        <v>58</v>
      </c>
      <c r="K13" s="28">
        <v>101</v>
      </c>
      <c r="L13" s="28">
        <v>3</v>
      </c>
      <c r="M13" s="28">
        <v>1</v>
      </c>
      <c r="N13" s="28" t="s">
        <v>22</v>
      </c>
      <c r="O13" s="28" t="s">
        <v>70</v>
      </c>
      <c r="P13" s="28" t="s">
        <v>71</v>
      </c>
      <c r="Q13" s="28">
        <v>4</v>
      </c>
      <c r="R13" s="28" t="s">
        <v>31</v>
      </c>
      <c r="S13" s="28">
        <v>100</v>
      </c>
    </row>
    <row r="14" spans="1:19" x14ac:dyDescent="0.3">
      <c r="A14" s="30" t="s">
        <v>72</v>
      </c>
      <c r="B14" s="27">
        <v>45573</v>
      </c>
      <c r="C14" s="26" t="s">
        <v>73</v>
      </c>
      <c r="D14" s="26" t="s">
        <v>74</v>
      </c>
      <c r="E14" s="26" t="s">
        <v>457</v>
      </c>
      <c r="F14" s="26" t="s">
        <v>75</v>
      </c>
      <c r="G14" s="26">
        <v>12600</v>
      </c>
      <c r="H14" s="26">
        <v>8850</v>
      </c>
      <c r="I14" s="26">
        <v>35</v>
      </c>
      <c r="J14" s="26">
        <v>25</v>
      </c>
      <c r="K14" s="26">
        <v>75</v>
      </c>
      <c r="L14" s="26">
        <v>6</v>
      </c>
      <c r="M14" s="26">
        <v>3</v>
      </c>
      <c r="N14" s="26" t="s">
        <v>22</v>
      </c>
      <c r="O14" s="26" t="s">
        <v>444</v>
      </c>
      <c r="P14" s="26" t="s">
        <v>37</v>
      </c>
      <c r="Q14" s="26">
        <v>4</v>
      </c>
      <c r="R14" s="26" t="s">
        <v>31</v>
      </c>
      <c r="S14" s="26">
        <v>750</v>
      </c>
    </row>
    <row r="15" spans="1:19" x14ac:dyDescent="0.3">
      <c r="A15" s="31" t="s">
        <v>76</v>
      </c>
      <c r="B15" s="29">
        <v>45438</v>
      </c>
      <c r="C15" s="28" t="s">
        <v>77</v>
      </c>
      <c r="D15" s="28" t="s">
        <v>74</v>
      </c>
      <c r="E15" s="28" t="s">
        <v>457</v>
      </c>
      <c r="F15" s="28" t="s">
        <v>78</v>
      </c>
      <c r="G15" s="28">
        <v>52110</v>
      </c>
      <c r="H15" s="28">
        <v>32940</v>
      </c>
      <c r="I15" s="28">
        <v>80</v>
      </c>
      <c r="J15" s="28">
        <v>53</v>
      </c>
      <c r="K15" s="28">
        <v>90</v>
      </c>
      <c r="L15" s="28">
        <v>0</v>
      </c>
      <c r="M15" s="28">
        <v>4</v>
      </c>
      <c r="N15" s="28" t="s">
        <v>22</v>
      </c>
      <c r="O15" s="28" t="s">
        <v>444</v>
      </c>
      <c r="P15" s="28" t="s">
        <v>37</v>
      </c>
      <c r="Q15" s="28">
        <v>3</v>
      </c>
      <c r="R15" s="28" t="s">
        <v>24</v>
      </c>
      <c r="S15" s="28">
        <v>500</v>
      </c>
    </row>
    <row r="16" spans="1:19" x14ac:dyDescent="0.3">
      <c r="A16" s="30" t="s">
        <v>79</v>
      </c>
      <c r="B16" s="27">
        <v>45552</v>
      </c>
      <c r="C16" s="26" t="s">
        <v>80</v>
      </c>
      <c r="D16" s="26" t="s">
        <v>20</v>
      </c>
      <c r="E16" s="26" t="s">
        <v>456</v>
      </c>
      <c r="F16" s="26" t="s">
        <v>81</v>
      </c>
      <c r="G16" s="26">
        <v>17100</v>
      </c>
      <c r="H16" s="26">
        <v>8025</v>
      </c>
      <c r="I16" s="26">
        <v>40</v>
      </c>
      <c r="J16" s="26">
        <v>29</v>
      </c>
      <c r="K16" s="26">
        <v>75</v>
      </c>
      <c r="L16" s="26">
        <v>1</v>
      </c>
      <c r="M16" s="26">
        <v>1</v>
      </c>
      <c r="N16" s="26" t="s">
        <v>22</v>
      </c>
      <c r="O16" s="26" t="s">
        <v>70</v>
      </c>
      <c r="P16" s="26" t="s">
        <v>71</v>
      </c>
      <c r="Q16" s="26">
        <v>8</v>
      </c>
      <c r="R16" s="26" t="s">
        <v>24</v>
      </c>
      <c r="S16" s="26">
        <v>0</v>
      </c>
    </row>
    <row r="17" spans="1:19" x14ac:dyDescent="0.3">
      <c r="A17" s="31" t="s">
        <v>82</v>
      </c>
      <c r="B17" s="29">
        <v>45396</v>
      </c>
      <c r="C17" s="28" t="s">
        <v>33</v>
      </c>
      <c r="D17" s="28" t="s">
        <v>34</v>
      </c>
      <c r="E17" s="28" t="s">
        <v>457</v>
      </c>
      <c r="F17" s="28" t="s">
        <v>35</v>
      </c>
      <c r="G17" s="28">
        <v>196740</v>
      </c>
      <c r="H17" s="28">
        <v>100260</v>
      </c>
      <c r="I17" s="28">
        <v>70</v>
      </c>
      <c r="J17" s="28">
        <v>97</v>
      </c>
      <c r="K17" s="28">
        <v>180</v>
      </c>
      <c r="L17" s="28">
        <v>14</v>
      </c>
      <c r="M17" s="28">
        <v>5</v>
      </c>
      <c r="N17" s="28" t="s">
        <v>22</v>
      </c>
      <c r="O17" s="28" t="s">
        <v>445</v>
      </c>
      <c r="P17" s="28" t="s">
        <v>42</v>
      </c>
      <c r="Q17" s="28">
        <v>7</v>
      </c>
      <c r="R17" s="28" t="s">
        <v>24</v>
      </c>
      <c r="S17" s="28">
        <v>0</v>
      </c>
    </row>
    <row r="18" spans="1:19" x14ac:dyDescent="0.3">
      <c r="A18" s="30" t="s">
        <v>83</v>
      </c>
      <c r="B18" s="27">
        <v>45427</v>
      </c>
      <c r="C18" s="26" t="s">
        <v>57</v>
      </c>
      <c r="D18" s="26" t="s">
        <v>27</v>
      </c>
      <c r="E18" s="26" t="s">
        <v>456</v>
      </c>
      <c r="F18" s="26" t="s">
        <v>58</v>
      </c>
      <c r="G18" s="26">
        <v>17215</v>
      </c>
      <c r="H18" s="26">
        <v>11550</v>
      </c>
      <c r="I18" s="26">
        <v>50</v>
      </c>
      <c r="J18" s="26">
        <v>33</v>
      </c>
      <c r="K18" s="26">
        <v>55</v>
      </c>
      <c r="L18" s="26">
        <v>6</v>
      </c>
      <c r="M18" s="26">
        <v>2</v>
      </c>
      <c r="N18" s="26" t="s">
        <v>22</v>
      </c>
      <c r="O18" s="26" t="s">
        <v>447</v>
      </c>
      <c r="P18" s="26" t="s">
        <v>63</v>
      </c>
      <c r="Q18" s="26">
        <v>5</v>
      </c>
      <c r="R18" s="26" t="s">
        <v>31</v>
      </c>
      <c r="S18" s="26">
        <v>0</v>
      </c>
    </row>
    <row r="19" spans="1:19" x14ac:dyDescent="0.3">
      <c r="A19" s="31" t="s">
        <v>84</v>
      </c>
      <c r="B19" s="29">
        <v>45346</v>
      </c>
      <c r="C19" s="28" t="s">
        <v>19</v>
      </c>
      <c r="D19" s="28" t="s">
        <v>20</v>
      </c>
      <c r="E19" s="26" t="s">
        <v>456</v>
      </c>
      <c r="F19" s="28" t="s">
        <v>21</v>
      </c>
      <c r="G19" s="28">
        <v>39396</v>
      </c>
      <c r="H19" s="28">
        <v>20502</v>
      </c>
      <c r="I19" s="28">
        <v>50</v>
      </c>
      <c r="J19" s="28">
        <v>77</v>
      </c>
      <c r="K19" s="28">
        <v>67</v>
      </c>
      <c r="L19" s="28">
        <v>4</v>
      </c>
      <c r="M19" s="28">
        <v>3</v>
      </c>
      <c r="N19" s="28" t="s">
        <v>22</v>
      </c>
      <c r="O19" s="28" t="s">
        <v>70</v>
      </c>
      <c r="P19" s="28" t="s">
        <v>71</v>
      </c>
      <c r="Q19" s="28">
        <v>5</v>
      </c>
      <c r="R19" s="28" t="s">
        <v>24</v>
      </c>
      <c r="S19" s="28">
        <v>0</v>
      </c>
    </row>
    <row r="20" spans="1:19" x14ac:dyDescent="0.3">
      <c r="A20" s="30" t="s">
        <v>85</v>
      </c>
      <c r="B20" s="27">
        <v>45374</v>
      </c>
      <c r="C20" s="26" t="s">
        <v>33</v>
      </c>
      <c r="D20" s="26" t="s">
        <v>34</v>
      </c>
      <c r="E20" s="28" t="s">
        <v>457</v>
      </c>
      <c r="F20" s="26" t="s">
        <v>35</v>
      </c>
      <c r="G20" s="26">
        <v>118038</v>
      </c>
      <c r="H20" s="26">
        <v>65704</v>
      </c>
      <c r="I20" s="26">
        <v>35</v>
      </c>
      <c r="J20" s="26">
        <v>54</v>
      </c>
      <c r="K20" s="26">
        <v>191</v>
      </c>
      <c r="L20" s="26">
        <v>17</v>
      </c>
      <c r="M20" s="26">
        <v>0</v>
      </c>
      <c r="N20" s="26" t="s">
        <v>36</v>
      </c>
      <c r="O20" s="26" t="s">
        <v>70</v>
      </c>
      <c r="P20" s="26" t="s">
        <v>71</v>
      </c>
      <c r="Q20" s="26">
        <v>4</v>
      </c>
      <c r="R20" s="26" t="s">
        <v>31</v>
      </c>
      <c r="S20" s="26">
        <v>100</v>
      </c>
    </row>
    <row r="21" spans="1:19" x14ac:dyDescent="0.3">
      <c r="A21" s="31" t="s">
        <v>86</v>
      </c>
      <c r="B21" s="29">
        <v>45399</v>
      </c>
      <c r="C21" s="28" t="s">
        <v>87</v>
      </c>
      <c r="D21" s="28" t="s">
        <v>45</v>
      </c>
      <c r="E21" s="26" t="s">
        <v>456</v>
      </c>
      <c r="F21" s="28" t="s">
        <v>88</v>
      </c>
      <c r="G21" s="28">
        <v>49572</v>
      </c>
      <c r="H21" s="28">
        <v>23598</v>
      </c>
      <c r="I21" s="28">
        <v>70</v>
      </c>
      <c r="J21" s="28">
        <v>136</v>
      </c>
      <c r="K21" s="28">
        <v>54</v>
      </c>
      <c r="L21" s="28">
        <v>6</v>
      </c>
      <c r="M21" s="28">
        <v>0</v>
      </c>
      <c r="N21" s="28" t="s">
        <v>36</v>
      </c>
      <c r="O21" s="28" t="s">
        <v>444</v>
      </c>
      <c r="P21" s="28" t="s">
        <v>37</v>
      </c>
      <c r="Q21" s="28">
        <v>4</v>
      </c>
      <c r="R21" s="28" t="s">
        <v>31</v>
      </c>
      <c r="S21" s="28">
        <v>750</v>
      </c>
    </row>
    <row r="22" spans="1:19" x14ac:dyDescent="0.3">
      <c r="A22" s="30" t="s">
        <v>89</v>
      </c>
      <c r="B22" s="27">
        <v>45373</v>
      </c>
      <c r="C22" s="26" t="s">
        <v>90</v>
      </c>
      <c r="D22" s="26" t="s">
        <v>34</v>
      </c>
      <c r="E22" s="28" t="s">
        <v>457</v>
      </c>
      <c r="F22" s="26" t="s">
        <v>91</v>
      </c>
      <c r="G22" s="26">
        <v>25476</v>
      </c>
      <c r="H22" s="26">
        <v>11748</v>
      </c>
      <c r="I22" s="26">
        <v>80</v>
      </c>
      <c r="J22" s="26">
        <v>18</v>
      </c>
      <c r="K22" s="26">
        <v>132</v>
      </c>
      <c r="L22" s="26">
        <v>9</v>
      </c>
      <c r="M22" s="26">
        <v>6</v>
      </c>
      <c r="N22" s="26" t="s">
        <v>22</v>
      </c>
      <c r="O22" s="26" t="s">
        <v>444</v>
      </c>
      <c r="P22" s="26" t="s">
        <v>37</v>
      </c>
      <c r="Q22" s="26">
        <v>8</v>
      </c>
      <c r="R22" s="26" t="s">
        <v>31</v>
      </c>
      <c r="S22" s="26">
        <v>200</v>
      </c>
    </row>
    <row r="23" spans="1:19" x14ac:dyDescent="0.3">
      <c r="A23" s="31" t="s">
        <v>92</v>
      </c>
      <c r="B23" s="29">
        <v>45434</v>
      </c>
      <c r="C23" s="28" t="s">
        <v>67</v>
      </c>
      <c r="D23" s="28" t="s">
        <v>20</v>
      </c>
      <c r="E23" s="26" t="s">
        <v>456</v>
      </c>
      <c r="F23" s="28" t="s">
        <v>68</v>
      </c>
      <c r="G23" s="28">
        <v>21868</v>
      </c>
      <c r="H23" s="28">
        <v>12012</v>
      </c>
      <c r="I23" s="28">
        <v>60</v>
      </c>
      <c r="J23" s="28">
        <v>72</v>
      </c>
      <c r="K23" s="28">
        <v>44</v>
      </c>
      <c r="L23" s="28">
        <v>1</v>
      </c>
      <c r="M23" s="28">
        <v>2</v>
      </c>
      <c r="N23" s="28" t="s">
        <v>41</v>
      </c>
      <c r="O23" s="28" t="s">
        <v>51</v>
      </c>
      <c r="P23" s="28" t="s">
        <v>52</v>
      </c>
      <c r="Q23" s="28">
        <v>6</v>
      </c>
      <c r="R23" s="28" t="s">
        <v>24</v>
      </c>
      <c r="S23" s="28">
        <v>0</v>
      </c>
    </row>
    <row r="24" spans="1:19" x14ac:dyDescent="0.3">
      <c r="A24" s="30" t="s">
        <v>93</v>
      </c>
      <c r="B24" s="27">
        <v>45351</v>
      </c>
      <c r="C24" s="26" t="s">
        <v>57</v>
      </c>
      <c r="D24" s="26" t="s">
        <v>27</v>
      </c>
      <c r="E24" s="28" t="s">
        <v>457</v>
      </c>
      <c r="F24" s="26" t="s">
        <v>58</v>
      </c>
      <c r="G24" s="26">
        <v>9285</v>
      </c>
      <c r="H24" s="26">
        <v>4620</v>
      </c>
      <c r="I24" s="26">
        <v>35</v>
      </c>
      <c r="J24" s="26">
        <v>80</v>
      </c>
      <c r="K24" s="26">
        <v>15</v>
      </c>
      <c r="L24" s="26">
        <v>0</v>
      </c>
      <c r="M24" s="26">
        <v>1</v>
      </c>
      <c r="N24" s="26" t="s">
        <v>22</v>
      </c>
      <c r="O24" s="26" t="s">
        <v>51</v>
      </c>
      <c r="P24" s="26" t="s">
        <v>52</v>
      </c>
      <c r="Q24" s="26">
        <v>5</v>
      </c>
      <c r="R24" s="26" t="s">
        <v>24</v>
      </c>
      <c r="S24" s="26">
        <v>500</v>
      </c>
    </row>
    <row r="25" spans="1:19" x14ac:dyDescent="0.3">
      <c r="A25" s="31" t="s">
        <v>94</v>
      </c>
      <c r="B25" s="29">
        <v>45459</v>
      </c>
      <c r="C25" s="28" t="s">
        <v>95</v>
      </c>
      <c r="D25" s="28" t="s">
        <v>49</v>
      </c>
      <c r="E25" s="26" t="s">
        <v>456</v>
      </c>
      <c r="F25" s="28" t="s">
        <v>96</v>
      </c>
      <c r="G25" s="28">
        <v>64848</v>
      </c>
      <c r="H25" s="28">
        <v>38192</v>
      </c>
      <c r="I25" s="28">
        <v>50</v>
      </c>
      <c r="J25" s="28">
        <v>63</v>
      </c>
      <c r="K25" s="28">
        <v>112</v>
      </c>
      <c r="L25" s="28">
        <v>9</v>
      </c>
      <c r="M25" s="28">
        <v>4</v>
      </c>
      <c r="N25" s="28" t="s">
        <v>22</v>
      </c>
      <c r="O25" s="28" t="s">
        <v>97</v>
      </c>
      <c r="P25" s="28" t="s">
        <v>98</v>
      </c>
      <c r="Q25" s="28">
        <v>5</v>
      </c>
      <c r="R25" s="28" t="s">
        <v>31</v>
      </c>
      <c r="S25" s="28">
        <v>0</v>
      </c>
    </row>
    <row r="26" spans="1:19" x14ac:dyDescent="0.3">
      <c r="A26" s="30" t="s">
        <v>99</v>
      </c>
      <c r="B26" s="27">
        <v>45518</v>
      </c>
      <c r="C26" s="26" t="s">
        <v>77</v>
      </c>
      <c r="D26" s="26" t="s">
        <v>74</v>
      </c>
      <c r="E26" s="28" t="s">
        <v>457</v>
      </c>
      <c r="F26" s="26" t="s">
        <v>78</v>
      </c>
      <c r="G26" s="26">
        <v>56202</v>
      </c>
      <c r="H26" s="26">
        <v>32451</v>
      </c>
      <c r="I26" s="26">
        <v>45</v>
      </c>
      <c r="J26" s="26">
        <v>81</v>
      </c>
      <c r="K26" s="26">
        <v>87</v>
      </c>
      <c r="L26" s="26">
        <v>10</v>
      </c>
      <c r="M26" s="26">
        <v>4</v>
      </c>
      <c r="N26" s="26" t="s">
        <v>41</v>
      </c>
      <c r="O26" s="26" t="s">
        <v>97</v>
      </c>
      <c r="P26" s="26" t="s">
        <v>98</v>
      </c>
      <c r="Q26" s="26">
        <v>4</v>
      </c>
      <c r="R26" s="26" t="s">
        <v>24</v>
      </c>
      <c r="S26" s="26">
        <v>200</v>
      </c>
    </row>
    <row r="27" spans="1:19" x14ac:dyDescent="0.3">
      <c r="A27" s="31" t="s">
        <v>100</v>
      </c>
      <c r="B27" s="29">
        <v>45535</v>
      </c>
      <c r="C27" s="28" t="s">
        <v>60</v>
      </c>
      <c r="D27" s="28" t="s">
        <v>61</v>
      </c>
      <c r="E27" s="26" t="s">
        <v>456</v>
      </c>
      <c r="F27" s="28" t="s">
        <v>62</v>
      </c>
      <c r="G27" s="28">
        <v>160380</v>
      </c>
      <c r="H27" s="28">
        <v>75168</v>
      </c>
      <c r="I27" s="28">
        <v>70</v>
      </c>
      <c r="J27" s="28">
        <v>141</v>
      </c>
      <c r="K27" s="28">
        <v>162</v>
      </c>
      <c r="L27" s="28">
        <v>12</v>
      </c>
      <c r="M27" s="28">
        <v>7</v>
      </c>
      <c r="N27" s="28" t="s">
        <v>41</v>
      </c>
      <c r="O27" s="28" t="s">
        <v>444</v>
      </c>
      <c r="P27" s="28" t="s">
        <v>37</v>
      </c>
      <c r="Q27" s="28">
        <v>3</v>
      </c>
      <c r="R27" s="28" t="s">
        <v>31</v>
      </c>
      <c r="S27" s="28">
        <v>100</v>
      </c>
    </row>
    <row r="28" spans="1:19" x14ac:dyDescent="0.3">
      <c r="A28" s="30" t="s">
        <v>101</v>
      </c>
      <c r="B28" s="27">
        <v>45577</v>
      </c>
      <c r="C28" s="26" t="s">
        <v>80</v>
      </c>
      <c r="D28" s="26" t="s">
        <v>20</v>
      </c>
      <c r="E28" s="28" t="s">
        <v>457</v>
      </c>
      <c r="F28" s="26" t="s">
        <v>81</v>
      </c>
      <c r="G28" s="26">
        <v>71965</v>
      </c>
      <c r="H28" s="26">
        <v>34595</v>
      </c>
      <c r="I28" s="26">
        <v>45</v>
      </c>
      <c r="J28" s="26">
        <v>53</v>
      </c>
      <c r="K28" s="26">
        <v>185</v>
      </c>
      <c r="L28" s="26">
        <v>17</v>
      </c>
      <c r="M28" s="26">
        <v>9</v>
      </c>
      <c r="N28" s="26" t="s">
        <v>41</v>
      </c>
      <c r="O28" s="26" t="s">
        <v>447</v>
      </c>
      <c r="P28" s="26" t="s">
        <v>63</v>
      </c>
      <c r="Q28" s="26">
        <v>6</v>
      </c>
      <c r="R28" s="26" t="s">
        <v>31</v>
      </c>
      <c r="S28" s="26">
        <v>750</v>
      </c>
    </row>
    <row r="29" spans="1:19" x14ac:dyDescent="0.3">
      <c r="A29" s="31" t="s">
        <v>102</v>
      </c>
      <c r="B29" s="29">
        <v>45418</v>
      </c>
      <c r="C29" s="28" t="s">
        <v>33</v>
      </c>
      <c r="D29" s="28" t="s">
        <v>34</v>
      </c>
      <c r="E29" s="26" t="s">
        <v>456</v>
      </c>
      <c r="F29" s="28" t="s">
        <v>35</v>
      </c>
      <c r="G29" s="28">
        <v>78880</v>
      </c>
      <c r="H29" s="28">
        <v>50830</v>
      </c>
      <c r="I29" s="28">
        <v>80</v>
      </c>
      <c r="J29" s="28">
        <v>115</v>
      </c>
      <c r="K29" s="28">
        <v>85</v>
      </c>
      <c r="L29" s="28">
        <v>1</v>
      </c>
      <c r="M29" s="28">
        <v>2</v>
      </c>
      <c r="N29" s="28" t="s">
        <v>41</v>
      </c>
      <c r="O29" s="28" t="s">
        <v>446</v>
      </c>
      <c r="P29" s="28" t="s">
        <v>103</v>
      </c>
      <c r="Q29" s="28">
        <v>7</v>
      </c>
      <c r="R29" s="28" t="s">
        <v>31</v>
      </c>
      <c r="S29" s="28">
        <v>500</v>
      </c>
    </row>
    <row r="30" spans="1:19" x14ac:dyDescent="0.3">
      <c r="A30" s="30" t="s">
        <v>104</v>
      </c>
      <c r="B30" s="27">
        <v>45647</v>
      </c>
      <c r="C30" s="26" t="s">
        <v>105</v>
      </c>
      <c r="D30" s="26" t="s">
        <v>49</v>
      </c>
      <c r="E30" s="28" t="s">
        <v>456</v>
      </c>
      <c r="F30" s="26" t="s">
        <v>106</v>
      </c>
      <c r="G30" s="26">
        <v>38860</v>
      </c>
      <c r="H30" s="26">
        <v>18090</v>
      </c>
      <c r="I30" s="26">
        <v>70</v>
      </c>
      <c r="J30" s="26">
        <v>30</v>
      </c>
      <c r="K30" s="26">
        <v>134</v>
      </c>
      <c r="L30" s="26">
        <v>1</v>
      </c>
      <c r="M30" s="26">
        <v>1</v>
      </c>
      <c r="N30" s="26" t="s">
        <v>22</v>
      </c>
      <c r="O30" s="26" t="s">
        <v>51</v>
      </c>
      <c r="P30" s="26" t="s">
        <v>52</v>
      </c>
      <c r="Q30" s="26">
        <v>8</v>
      </c>
      <c r="R30" s="26" t="s">
        <v>31</v>
      </c>
      <c r="S30" s="26">
        <v>750</v>
      </c>
    </row>
    <row r="31" spans="1:19" x14ac:dyDescent="0.3">
      <c r="A31" s="31" t="s">
        <v>107</v>
      </c>
      <c r="B31" s="29">
        <v>45472</v>
      </c>
      <c r="C31" s="28" t="s">
        <v>108</v>
      </c>
      <c r="D31" s="28" t="s">
        <v>20</v>
      </c>
      <c r="E31" s="26" t="s">
        <v>456</v>
      </c>
      <c r="F31" s="28" t="s">
        <v>109</v>
      </c>
      <c r="G31" s="28">
        <v>68068</v>
      </c>
      <c r="H31" s="28">
        <v>45122</v>
      </c>
      <c r="I31" s="28">
        <v>70</v>
      </c>
      <c r="J31" s="28">
        <v>52</v>
      </c>
      <c r="K31" s="28">
        <v>154</v>
      </c>
      <c r="L31" s="28">
        <v>7</v>
      </c>
      <c r="M31" s="28">
        <v>7</v>
      </c>
      <c r="N31" s="28" t="s">
        <v>36</v>
      </c>
      <c r="O31" s="28" t="s">
        <v>445</v>
      </c>
      <c r="P31" s="28" t="s">
        <v>42</v>
      </c>
      <c r="Q31" s="28">
        <v>3</v>
      </c>
      <c r="R31" s="28" t="s">
        <v>31</v>
      </c>
      <c r="S31" s="28">
        <v>750</v>
      </c>
    </row>
    <row r="32" spans="1:19" x14ac:dyDescent="0.3">
      <c r="A32" s="30" t="s">
        <v>110</v>
      </c>
      <c r="B32" s="27">
        <v>45357</v>
      </c>
      <c r="C32" s="26" t="s">
        <v>77</v>
      </c>
      <c r="D32" s="26" t="s">
        <v>74</v>
      </c>
      <c r="E32" s="28" t="s">
        <v>457</v>
      </c>
      <c r="F32" s="26" t="s">
        <v>78</v>
      </c>
      <c r="G32" s="26">
        <v>110112</v>
      </c>
      <c r="H32" s="26">
        <v>74524</v>
      </c>
      <c r="I32" s="26">
        <v>35</v>
      </c>
      <c r="J32" s="26">
        <v>76</v>
      </c>
      <c r="K32" s="26">
        <v>124</v>
      </c>
      <c r="L32" s="26">
        <v>13</v>
      </c>
      <c r="M32" s="26">
        <v>3</v>
      </c>
      <c r="N32" s="26" t="s">
        <v>22</v>
      </c>
      <c r="O32" s="26" t="s">
        <v>70</v>
      </c>
      <c r="P32" s="26" t="s">
        <v>71</v>
      </c>
      <c r="Q32" s="26">
        <v>5</v>
      </c>
      <c r="R32" s="26" t="s">
        <v>24</v>
      </c>
      <c r="S32" s="26">
        <v>300</v>
      </c>
    </row>
    <row r="33" spans="1:19" x14ac:dyDescent="0.3">
      <c r="A33" s="31" t="s">
        <v>111</v>
      </c>
      <c r="B33" s="29">
        <v>45434</v>
      </c>
      <c r="C33" s="28" t="s">
        <v>105</v>
      </c>
      <c r="D33" s="28" t="s">
        <v>49</v>
      </c>
      <c r="E33" s="26" t="s">
        <v>456</v>
      </c>
      <c r="F33" s="28" t="s">
        <v>106</v>
      </c>
      <c r="G33" s="28">
        <v>13720</v>
      </c>
      <c r="H33" s="28">
        <v>6468</v>
      </c>
      <c r="I33" s="28">
        <v>35</v>
      </c>
      <c r="J33" s="28">
        <v>65</v>
      </c>
      <c r="K33" s="28">
        <v>28</v>
      </c>
      <c r="L33" s="28">
        <v>1</v>
      </c>
      <c r="M33" s="28">
        <v>0</v>
      </c>
      <c r="N33" s="28" t="s">
        <v>22</v>
      </c>
      <c r="O33" s="28" t="s">
        <v>23</v>
      </c>
      <c r="P33" s="28" t="s">
        <v>23</v>
      </c>
      <c r="Q33" s="28">
        <v>4</v>
      </c>
      <c r="R33" s="28" t="s">
        <v>24</v>
      </c>
      <c r="S33" s="28">
        <v>0</v>
      </c>
    </row>
    <row r="34" spans="1:19" x14ac:dyDescent="0.3">
      <c r="A34" s="30" t="s">
        <v>112</v>
      </c>
      <c r="B34" s="27">
        <v>45534</v>
      </c>
      <c r="C34" s="26" t="s">
        <v>113</v>
      </c>
      <c r="D34" s="26" t="s">
        <v>114</v>
      </c>
      <c r="E34" s="28" t="s">
        <v>457</v>
      </c>
      <c r="F34" s="26" t="s">
        <v>115</v>
      </c>
      <c r="G34" s="26">
        <v>94503</v>
      </c>
      <c r="H34" s="26">
        <v>64964</v>
      </c>
      <c r="I34" s="26">
        <v>80</v>
      </c>
      <c r="J34" s="26">
        <v>112</v>
      </c>
      <c r="K34" s="26">
        <v>109</v>
      </c>
      <c r="L34" s="26">
        <v>9</v>
      </c>
      <c r="M34" s="26">
        <v>4</v>
      </c>
      <c r="N34" s="26" t="s">
        <v>22</v>
      </c>
      <c r="O34" s="26" t="s">
        <v>97</v>
      </c>
      <c r="P34" s="26" t="s">
        <v>98</v>
      </c>
      <c r="Q34" s="26">
        <v>3</v>
      </c>
      <c r="R34" s="26" t="s">
        <v>24</v>
      </c>
      <c r="S34" s="26">
        <v>100</v>
      </c>
    </row>
    <row r="35" spans="1:19" x14ac:dyDescent="0.3">
      <c r="A35" s="31" t="s">
        <v>116</v>
      </c>
      <c r="B35" s="29">
        <v>45393</v>
      </c>
      <c r="C35" s="28" t="s">
        <v>117</v>
      </c>
      <c r="D35" s="28" t="s">
        <v>49</v>
      </c>
      <c r="E35" s="26" t="s">
        <v>456</v>
      </c>
      <c r="F35" s="28" t="s">
        <v>118</v>
      </c>
      <c r="G35" s="28">
        <v>19228</v>
      </c>
      <c r="H35" s="28">
        <v>12604</v>
      </c>
      <c r="I35" s="28">
        <v>50</v>
      </c>
      <c r="J35" s="28">
        <v>18</v>
      </c>
      <c r="K35" s="28">
        <v>92</v>
      </c>
      <c r="L35" s="28">
        <v>1</v>
      </c>
      <c r="M35" s="28">
        <v>4</v>
      </c>
      <c r="N35" s="28" t="s">
        <v>36</v>
      </c>
      <c r="O35" s="28" t="s">
        <v>447</v>
      </c>
      <c r="P35" s="28" t="s">
        <v>63</v>
      </c>
      <c r="Q35" s="28">
        <v>6</v>
      </c>
      <c r="R35" s="28" t="s">
        <v>24</v>
      </c>
      <c r="S35" s="28">
        <v>500</v>
      </c>
    </row>
    <row r="36" spans="1:19" x14ac:dyDescent="0.3">
      <c r="A36" s="30" t="s">
        <v>119</v>
      </c>
      <c r="B36" s="27">
        <v>45507</v>
      </c>
      <c r="C36" s="26" t="s">
        <v>108</v>
      </c>
      <c r="D36" s="26" t="s">
        <v>20</v>
      </c>
      <c r="E36" s="28" t="s">
        <v>457</v>
      </c>
      <c r="F36" s="26" t="s">
        <v>109</v>
      </c>
      <c r="G36" s="26">
        <v>65268</v>
      </c>
      <c r="H36" s="26">
        <v>45108</v>
      </c>
      <c r="I36" s="26">
        <v>80</v>
      </c>
      <c r="J36" s="26">
        <v>67</v>
      </c>
      <c r="K36" s="26">
        <v>126</v>
      </c>
      <c r="L36" s="26">
        <v>8</v>
      </c>
      <c r="M36" s="26">
        <v>4</v>
      </c>
      <c r="N36" s="26" t="s">
        <v>36</v>
      </c>
      <c r="O36" s="26" t="s">
        <v>70</v>
      </c>
      <c r="P36" s="26" t="s">
        <v>71</v>
      </c>
      <c r="Q36" s="26">
        <v>8</v>
      </c>
      <c r="R36" s="26" t="s">
        <v>31</v>
      </c>
      <c r="S36" s="26">
        <v>1000</v>
      </c>
    </row>
    <row r="37" spans="1:19" x14ac:dyDescent="0.3">
      <c r="A37" s="31" t="s">
        <v>120</v>
      </c>
      <c r="B37" s="29">
        <v>45434</v>
      </c>
      <c r="C37" s="28" t="s">
        <v>121</v>
      </c>
      <c r="D37" s="28" t="s">
        <v>20</v>
      </c>
      <c r="E37" s="26" t="s">
        <v>456</v>
      </c>
      <c r="F37" s="28" t="s">
        <v>109</v>
      </c>
      <c r="G37" s="28">
        <v>77409</v>
      </c>
      <c r="H37" s="28">
        <v>43851</v>
      </c>
      <c r="I37" s="28">
        <v>70</v>
      </c>
      <c r="J37" s="28">
        <v>57</v>
      </c>
      <c r="K37" s="28">
        <v>141</v>
      </c>
      <c r="L37" s="28">
        <v>5</v>
      </c>
      <c r="M37" s="28">
        <v>7</v>
      </c>
      <c r="N37" s="28" t="s">
        <v>41</v>
      </c>
      <c r="O37" s="28" t="s">
        <v>446</v>
      </c>
      <c r="P37" s="28" t="s">
        <v>103</v>
      </c>
      <c r="Q37" s="28">
        <v>5</v>
      </c>
      <c r="R37" s="28" t="s">
        <v>31</v>
      </c>
      <c r="S37" s="28">
        <v>300</v>
      </c>
    </row>
    <row r="38" spans="1:19" x14ac:dyDescent="0.3">
      <c r="A38" s="30" t="s">
        <v>122</v>
      </c>
      <c r="B38" s="27">
        <v>45389</v>
      </c>
      <c r="C38" s="26" t="s">
        <v>54</v>
      </c>
      <c r="D38" s="26" t="s">
        <v>27</v>
      </c>
      <c r="E38" s="28" t="s">
        <v>457</v>
      </c>
      <c r="F38" s="26" t="s">
        <v>55</v>
      </c>
      <c r="G38" s="26">
        <v>32760</v>
      </c>
      <c r="H38" s="26">
        <v>18000</v>
      </c>
      <c r="I38" s="26">
        <v>50</v>
      </c>
      <c r="J38" s="26">
        <v>23</v>
      </c>
      <c r="K38" s="26">
        <v>180</v>
      </c>
      <c r="L38" s="26">
        <v>14</v>
      </c>
      <c r="M38" s="26">
        <v>0</v>
      </c>
      <c r="N38" s="26" t="s">
        <v>36</v>
      </c>
      <c r="O38" s="26" t="s">
        <v>70</v>
      </c>
      <c r="P38" s="26" t="s">
        <v>71</v>
      </c>
      <c r="Q38" s="26">
        <v>8</v>
      </c>
      <c r="R38" s="26" t="s">
        <v>31</v>
      </c>
      <c r="S38" s="26">
        <v>200</v>
      </c>
    </row>
    <row r="39" spans="1:19" x14ac:dyDescent="0.3">
      <c r="A39" s="31" t="s">
        <v>123</v>
      </c>
      <c r="B39" s="29">
        <v>45575</v>
      </c>
      <c r="C39" s="28" t="s">
        <v>124</v>
      </c>
      <c r="D39" s="28" t="s">
        <v>74</v>
      </c>
      <c r="E39" s="26" t="s">
        <v>456</v>
      </c>
      <c r="F39" s="28" t="s">
        <v>125</v>
      </c>
      <c r="G39" s="28">
        <v>83185</v>
      </c>
      <c r="H39" s="28">
        <v>58164</v>
      </c>
      <c r="I39" s="28">
        <v>60</v>
      </c>
      <c r="J39" s="28">
        <v>66</v>
      </c>
      <c r="K39" s="28">
        <v>131</v>
      </c>
      <c r="L39" s="28">
        <v>9</v>
      </c>
      <c r="M39" s="28">
        <v>2</v>
      </c>
      <c r="N39" s="28" t="s">
        <v>22</v>
      </c>
      <c r="O39" s="28" t="s">
        <v>446</v>
      </c>
      <c r="P39" s="28" t="s">
        <v>103</v>
      </c>
      <c r="Q39" s="28">
        <v>3</v>
      </c>
      <c r="R39" s="28" t="s">
        <v>24</v>
      </c>
      <c r="S39" s="28">
        <v>200</v>
      </c>
    </row>
    <row r="40" spans="1:19" x14ac:dyDescent="0.3">
      <c r="A40" s="30" t="s">
        <v>126</v>
      </c>
      <c r="B40" s="27">
        <v>45539</v>
      </c>
      <c r="C40" s="26" t="s">
        <v>127</v>
      </c>
      <c r="D40" s="26" t="s">
        <v>61</v>
      </c>
      <c r="E40" s="28" t="s">
        <v>457</v>
      </c>
      <c r="F40" s="26" t="s">
        <v>128</v>
      </c>
      <c r="G40" s="26">
        <v>28032</v>
      </c>
      <c r="H40" s="26">
        <v>19456</v>
      </c>
      <c r="I40" s="26">
        <v>55</v>
      </c>
      <c r="J40" s="26">
        <v>65</v>
      </c>
      <c r="K40" s="26">
        <v>64</v>
      </c>
      <c r="L40" s="26">
        <v>3</v>
      </c>
      <c r="M40" s="26">
        <v>2</v>
      </c>
      <c r="N40" s="26" t="s">
        <v>22</v>
      </c>
      <c r="O40" s="26" t="s">
        <v>447</v>
      </c>
      <c r="P40" s="26" t="s">
        <v>63</v>
      </c>
      <c r="Q40" s="26">
        <v>4</v>
      </c>
      <c r="R40" s="26" t="s">
        <v>31</v>
      </c>
      <c r="S40" s="26">
        <v>0</v>
      </c>
    </row>
    <row r="41" spans="1:19" x14ac:dyDescent="0.3">
      <c r="A41" s="31" t="s">
        <v>129</v>
      </c>
      <c r="B41" s="29">
        <v>45618</v>
      </c>
      <c r="C41" s="28" t="s">
        <v>113</v>
      </c>
      <c r="D41" s="28" t="s">
        <v>114</v>
      </c>
      <c r="E41" s="26" t="s">
        <v>456</v>
      </c>
      <c r="F41" s="28" t="s">
        <v>115</v>
      </c>
      <c r="G41" s="28">
        <v>65786</v>
      </c>
      <c r="H41" s="28">
        <v>29845</v>
      </c>
      <c r="I41" s="28">
        <v>55</v>
      </c>
      <c r="J41" s="28">
        <v>58</v>
      </c>
      <c r="K41" s="28">
        <v>127</v>
      </c>
      <c r="L41" s="28">
        <v>5</v>
      </c>
      <c r="M41" s="28">
        <v>0</v>
      </c>
      <c r="N41" s="28" t="s">
        <v>22</v>
      </c>
      <c r="O41" s="28" t="s">
        <v>29</v>
      </c>
      <c r="P41" s="28" t="s">
        <v>30</v>
      </c>
      <c r="Q41" s="28">
        <v>6</v>
      </c>
      <c r="R41" s="28" t="s">
        <v>31</v>
      </c>
      <c r="S41" s="28">
        <v>0</v>
      </c>
    </row>
    <row r="42" spans="1:19" x14ac:dyDescent="0.3">
      <c r="A42" s="30" t="s">
        <v>130</v>
      </c>
      <c r="B42" s="27">
        <v>45368</v>
      </c>
      <c r="C42" s="26" t="s">
        <v>131</v>
      </c>
      <c r="D42" s="26" t="s">
        <v>114</v>
      </c>
      <c r="E42" s="28" t="s">
        <v>456</v>
      </c>
      <c r="F42" s="26" t="s">
        <v>132</v>
      </c>
      <c r="G42" s="26">
        <v>123783</v>
      </c>
      <c r="H42" s="26">
        <v>58322</v>
      </c>
      <c r="I42" s="26">
        <v>50</v>
      </c>
      <c r="J42" s="26">
        <v>90</v>
      </c>
      <c r="K42" s="26">
        <v>121</v>
      </c>
      <c r="L42" s="26">
        <v>9</v>
      </c>
      <c r="M42" s="26">
        <v>6</v>
      </c>
      <c r="N42" s="26" t="s">
        <v>22</v>
      </c>
      <c r="O42" s="26" t="s">
        <v>445</v>
      </c>
      <c r="P42" s="26" t="s">
        <v>42</v>
      </c>
      <c r="Q42" s="26">
        <v>6</v>
      </c>
      <c r="R42" s="26" t="s">
        <v>31</v>
      </c>
      <c r="S42" s="26">
        <v>750</v>
      </c>
    </row>
    <row r="43" spans="1:19" x14ac:dyDescent="0.3">
      <c r="A43" s="31" t="s">
        <v>133</v>
      </c>
      <c r="B43" s="29">
        <v>45604</v>
      </c>
      <c r="C43" s="28" t="s">
        <v>80</v>
      </c>
      <c r="D43" s="28" t="s">
        <v>20</v>
      </c>
      <c r="E43" s="26" t="s">
        <v>457</v>
      </c>
      <c r="F43" s="28" t="s">
        <v>81</v>
      </c>
      <c r="G43" s="28">
        <v>8225</v>
      </c>
      <c r="H43" s="28">
        <v>4130</v>
      </c>
      <c r="I43" s="28">
        <v>50</v>
      </c>
      <c r="J43" s="28">
        <v>23</v>
      </c>
      <c r="K43" s="28">
        <v>35</v>
      </c>
      <c r="L43" s="28">
        <v>1</v>
      </c>
      <c r="M43" s="28">
        <v>0</v>
      </c>
      <c r="N43" s="28" t="s">
        <v>41</v>
      </c>
      <c r="O43" s="28" t="s">
        <v>444</v>
      </c>
      <c r="P43" s="28" t="s">
        <v>37</v>
      </c>
      <c r="Q43" s="28">
        <v>6</v>
      </c>
      <c r="R43" s="28" t="s">
        <v>24</v>
      </c>
      <c r="S43" s="28">
        <v>100</v>
      </c>
    </row>
    <row r="44" spans="1:19" x14ac:dyDescent="0.3">
      <c r="A44" s="30" t="s">
        <v>134</v>
      </c>
      <c r="B44" s="27">
        <v>45308</v>
      </c>
      <c r="C44" s="26" t="s">
        <v>135</v>
      </c>
      <c r="D44" s="26" t="s">
        <v>34</v>
      </c>
      <c r="E44" s="28" t="s">
        <v>457</v>
      </c>
      <c r="F44" s="26" t="s">
        <v>136</v>
      </c>
      <c r="G44" s="26">
        <v>22940</v>
      </c>
      <c r="H44" s="26">
        <v>11914</v>
      </c>
      <c r="I44" s="26">
        <v>80</v>
      </c>
      <c r="J44" s="26">
        <v>26</v>
      </c>
      <c r="K44" s="26">
        <v>74</v>
      </c>
      <c r="L44" s="26">
        <v>3</v>
      </c>
      <c r="M44" s="26">
        <v>3</v>
      </c>
      <c r="N44" s="26" t="s">
        <v>22</v>
      </c>
      <c r="O44" s="26" t="s">
        <v>97</v>
      </c>
      <c r="P44" s="26" t="s">
        <v>98</v>
      </c>
      <c r="Q44" s="26">
        <v>4</v>
      </c>
      <c r="R44" s="26" t="s">
        <v>31</v>
      </c>
      <c r="S44" s="26">
        <v>100</v>
      </c>
    </row>
    <row r="45" spans="1:19" x14ac:dyDescent="0.3">
      <c r="A45" s="31" t="s">
        <v>137</v>
      </c>
      <c r="B45" s="29">
        <v>45516</v>
      </c>
      <c r="C45" s="28" t="s">
        <v>135</v>
      </c>
      <c r="D45" s="28" t="s">
        <v>34</v>
      </c>
      <c r="E45" s="26" t="s">
        <v>456</v>
      </c>
      <c r="F45" s="28" t="s">
        <v>136</v>
      </c>
      <c r="G45" s="28">
        <v>28457</v>
      </c>
      <c r="H45" s="28">
        <v>15015</v>
      </c>
      <c r="I45" s="28">
        <v>70</v>
      </c>
      <c r="J45" s="28">
        <v>29</v>
      </c>
      <c r="K45" s="28">
        <v>143</v>
      </c>
      <c r="L45" s="28">
        <v>15</v>
      </c>
      <c r="M45" s="28">
        <v>7</v>
      </c>
      <c r="N45" s="28" t="s">
        <v>22</v>
      </c>
      <c r="O45" s="28" t="s">
        <v>446</v>
      </c>
      <c r="P45" s="28" t="s">
        <v>103</v>
      </c>
      <c r="Q45" s="28">
        <v>7</v>
      </c>
      <c r="R45" s="28" t="s">
        <v>24</v>
      </c>
      <c r="S45" s="28">
        <v>750</v>
      </c>
    </row>
    <row r="46" spans="1:19" x14ac:dyDescent="0.3">
      <c r="A46" s="30" t="s">
        <v>138</v>
      </c>
      <c r="B46" s="27">
        <v>45636</v>
      </c>
      <c r="C46" s="26" t="s">
        <v>139</v>
      </c>
      <c r="D46" s="26" t="s">
        <v>20</v>
      </c>
      <c r="E46" s="28" t="s">
        <v>457</v>
      </c>
      <c r="F46" s="26" t="s">
        <v>140</v>
      </c>
      <c r="G46" s="26">
        <v>75296</v>
      </c>
      <c r="H46" s="26">
        <v>48327</v>
      </c>
      <c r="I46" s="26">
        <v>45</v>
      </c>
      <c r="J46" s="26">
        <v>47</v>
      </c>
      <c r="K46" s="26">
        <v>181</v>
      </c>
      <c r="L46" s="26">
        <v>8</v>
      </c>
      <c r="M46" s="26">
        <v>2</v>
      </c>
      <c r="N46" s="26" t="s">
        <v>22</v>
      </c>
      <c r="O46" s="26" t="s">
        <v>29</v>
      </c>
      <c r="P46" s="26" t="s">
        <v>30</v>
      </c>
      <c r="Q46" s="26">
        <v>6</v>
      </c>
      <c r="R46" s="26" t="s">
        <v>31</v>
      </c>
      <c r="S46" s="26">
        <v>1000</v>
      </c>
    </row>
    <row r="47" spans="1:19" x14ac:dyDescent="0.3">
      <c r="A47" s="31" t="s">
        <v>141</v>
      </c>
      <c r="B47" s="29">
        <v>45374</v>
      </c>
      <c r="C47" s="28" t="s">
        <v>39</v>
      </c>
      <c r="D47" s="28" t="s">
        <v>20</v>
      </c>
      <c r="E47" s="26" t="s">
        <v>456</v>
      </c>
      <c r="F47" s="28" t="s">
        <v>40</v>
      </c>
      <c r="G47" s="28">
        <v>70680</v>
      </c>
      <c r="H47" s="28">
        <v>40610</v>
      </c>
      <c r="I47" s="28">
        <v>70</v>
      </c>
      <c r="J47" s="28">
        <v>62</v>
      </c>
      <c r="K47" s="28">
        <v>155</v>
      </c>
      <c r="L47" s="28">
        <v>14</v>
      </c>
      <c r="M47" s="28">
        <v>1</v>
      </c>
      <c r="N47" s="28" t="s">
        <v>22</v>
      </c>
      <c r="O47" s="28" t="s">
        <v>29</v>
      </c>
      <c r="P47" s="28" t="s">
        <v>30</v>
      </c>
      <c r="Q47" s="28">
        <v>6</v>
      </c>
      <c r="R47" s="28" t="s">
        <v>31</v>
      </c>
      <c r="S47" s="28">
        <v>500</v>
      </c>
    </row>
    <row r="48" spans="1:19" x14ac:dyDescent="0.3">
      <c r="A48" s="30" t="s">
        <v>142</v>
      </c>
      <c r="B48" s="27">
        <v>45319</v>
      </c>
      <c r="C48" s="26" t="s">
        <v>95</v>
      </c>
      <c r="D48" s="26" t="s">
        <v>49</v>
      </c>
      <c r="E48" s="26" t="s">
        <v>456</v>
      </c>
      <c r="F48" s="26" t="s">
        <v>96</v>
      </c>
      <c r="G48" s="26">
        <v>9492</v>
      </c>
      <c r="H48" s="26">
        <v>5740</v>
      </c>
      <c r="I48" s="26">
        <v>80</v>
      </c>
      <c r="J48" s="26">
        <v>42</v>
      </c>
      <c r="K48" s="26">
        <v>28</v>
      </c>
      <c r="L48" s="26">
        <v>2</v>
      </c>
      <c r="M48" s="26">
        <v>0</v>
      </c>
      <c r="N48" s="26" t="s">
        <v>22</v>
      </c>
      <c r="O48" s="26" t="s">
        <v>29</v>
      </c>
      <c r="P48" s="26" t="s">
        <v>30</v>
      </c>
      <c r="Q48" s="26">
        <v>3</v>
      </c>
      <c r="R48" s="26" t="s">
        <v>31</v>
      </c>
      <c r="S48" s="26">
        <v>1000</v>
      </c>
    </row>
    <row r="49" spans="1:19" x14ac:dyDescent="0.3">
      <c r="A49" s="31" t="s">
        <v>143</v>
      </c>
      <c r="B49" s="29">
        <v>45574</v>
      </c>
      <c r="C49" s="28" t="s">
        <v>65</v>
      </c>
      <c r="D49" s="28" t="s">
        <v>34</v>
      </c>
      <c r="E49" s="28" t="s">
        <v>457</v>
      </c>
      <c r="F49" s="28" t="s">
        <v>35</v>
      </c>
      <c r="G49" s="28">
        <v>6165</v>
      </c>
      <c r="H49" s="28">
        <v>2925</v>
      </c>
      <c r="I49" s="28">
        <v>40</v>
      </c>
      <c r="J49" s="28">
        <v>15</v>
      </c>
      <c r="K49" s="28">
        <v>45</v>
      </c>
      <c r="L49" s="28">
        <v>1</v>
      </c>
      <c r="M49" s="28">
        <v>1</v>
      </c>
      <c r="N49" s="28" t="s">
        <v>41</v>
      </c>
      <c r="O49" s="28" t="s">
        <v>70</v>
      </c>
      <c r="P49" s="28" t="s">
        <v>71</v>
      </c>
      <c r="Q49" s="28">
        <v>6</v>
      </c>
      <c r="R49" s="28" t="s">
        <v>31</v>
      </c>
      <c r="S49" s="28">
        <v>300</v>
      </c>
    </row>
    <row r="50" spans="1:19" x14ac:dyDescent="0.3">
      <c r="A50" s="30" t="s">
        <v>144</v>
      </c>
      <c r="B50" s="27">
        <v>45389</v>
      </c>
      <c r="C50" s="26" t="s">
        <v>105</v>
      </c>
      <c r="D50" s="26" t="s">
        <v>49</v>
      </c>
      <c r="E50" s="26" t="s">
        <v>456</v>
      </c>
      <c r="F50" s="26" t="s">
        <v>106</v>
      </c>
      <c r="G50" s="26">
        <v>106480</v>
      </c>
      <c r="H50" s="26">
        <v>71269</v>
      </c>
      <c r="I50" s="26">
        <v>40</v>
      </c>
      <c r="J50" s="26">
        <v>87</v>
      </c>
      <c r="K50" s="26">
        <v>121</v>
      </c>
      <c r="L50" s="26">
        <v>14</v>
      </c>
      <c r="M50" s="26">
        <v>6</v>
      </c>
      <c r="N50" s="26" t="s">
        <v>22</v>
      </c>
      <c r="O50" s="26" t="s">
        <v>97</v>
      </c>
      <c r="P50" s="26" t="s">
        <v>98</v>
      </c>
      <c r="Q50" s="26">
        <v>8</v>
      </c>
      <c r="R50" s="26" t="s">
        <v>31</v>
      </c>
      <c r="S50" s="26">
        <v>0</v>
      </c>
    </row>
    <row r="51" spans="1:19" x14ac:dyDescent="0.3">
      <c r="A51" s="31" t="s">
        <v>145</v>
      </c>
      <c r="B51" s="29">
        <v>45520</v>
      </c>
      <c r="C51" s="28" t="s">
        <v>131</v>
      </c>
      <c r="D51" s="28" t="s">
        <v>114</v>
      </c>
      <c r="E51" s="28" t="s">
        <v>457</v>
      </c>
      <c r="F51" s="28" t="s">
        <v>132</v>
      </c>
      <c r="G51" s="28">
        <v>64990</v>
      </c>
      <c r="H51" s="28">
        <v>34629</v>
      </c>
      <c r="I51" s="28">
        <v>70</v>
      </c>
      <c r="J51" s="28">
        <v>75</v>
      </c>
      <c r="K51" s="28">
        <v>97</v>
      </c>
      <c r="L51" s="28">
        <v>11</v>
      </c>
      <c r="M51" s="28">
        <v>1</v>
      </c>
      <c r="N51" s="28" t="s">
        <v>41</v>
      </c>
      <c r="O51" s="28" t="s">
        <v>70</v>
      </c>
      <c r="P51" s="28" t="s">
        <v>71</v>
      </c>
      <c r="Q51" s="28">
        <v>3</v>
      </c>
      <c r="R51" s="28" t="s">
        <v>31</v>
      </c>
      <c r="S51" s="28">
        <v>200</v>
      </c>
    </row>
    <row r="52" spans="1:19" x14ac:dyDescent="0.3">
      <c r="A52" s="30" t="s">
        <v>146</v>
      </c>
      <c r="B52" s="27">
        <v>45631</v>
      </c>
      <c r="C52" s="26" t="s">
        <v>105</v>
      </c>
      <c r="D52" s="26" t="s">
        <v>49</v>
      </c>
      <c r="E52" s="26" t="s">
        <v>456</v>
      </c>
      <c r="F52" s="26" t="s">
        <v>106</v>
      </c>
      <c r="G52" s="26">
        <v>197872</v>
      </c>
      <c r="H52" s="26">
        <v>113544</v>
      </c>
      <c r="I52" s="26">
        <v>35</v>
      </c>
      <c r="J52" s="26">
        <v>106</v>
      </c>
      <c r="K52" s="26">
        <v>166</v>
      </c>
      <c r="L52" s="26">
        <v>3</v>
      </c>
      <c r="M52" s="26">
        <v>7</v>
      </c>
      <c r="N52" s="26" t="s">
        <v>41</v>
      </c>
      <c r="O52" s="26" t="s">
        <v>147</v>
      </c>
      <c r="P52" s="26" t="s">
        <v>148</v>
      </c>
      <c r="Q52" s="26">
        <v>6</v>
      </c>
      <c r="R52" s="26" t="s">
        <v>31</v>
      </c>
      <c r="S52" s="26">
        <v>0</v>
      </c>
    </row>
    <row r="53" spans="1:19" x14ac:dyDescent="0.3">
      <c r="A53" s="31" t="s">
        <v>149</v>
      </c>
      <c r="B53" s="29">
        <v>45465</v>
      </c>
      <c r="C53" s="28" t="s">
        <v>33</v>
      </c>
      <c r="D53" s="28" t="s">
        <v>34</v>
      </c>
      <c r="E53" s="28" t="s">
        <v>457</v>
      </c>
      <c r="F53" s="28" t="s">
        <v>35</v>
      </c>
      <c r="G53" s="28">
        <v>141789</v>
      </c>
      <c r="H53" s="28">
        <v>86825</v>
      </c>
      <c r="I53" s="28">
        <v>60</v>
      </c>
      <c r="J53" s="28">
        <v>131</v>
      </c>
      <c r="K53" s="28">
        <v>151</v>
      </c>
      <c r="L53" s="28">
        <v>10</v>
      </c>
      <c r="M53" s="28">
        <v>7</v>
      </c>
      <c r="N53" s="28" t="s">
        <v>36</v>
      </c>
      <c r="O53" s="28" t="s">
        <v>23</v>
      </c>
      <c r="P53" s="28" t="s">
        <v>23</v>
      </c>
      <c r="Q53" s="28">
        <v>8</v>
      </c>
      <c r="R53" s="28" t="s">
        <v>24</v>
      </c>
      <c r="S53" s="28">
        <v>0</v>
      </c>
    </row>
    <row r="54" spans="1:19" x14ac:dyDescent="0.3">
      <c r="A54" s="30" t="s">
        <v>150</v>
      </c>
      <c r="B54" s="27">
        <v>45342</v>
      </c>
      <c r="C54" s="26" t="s">
        <v>48</v>
      </c>
      <c r="D54" s="26" t="s">
        <v>49</v>
      </c>
      <c r="E54" s="26" t="s">
        <v>456</v>
      </c>
      <c r="F54" s="26" t="s">
        <v>50</v>
      </c>
      <c r="G54" s="26">
        <v>23936</v>
      </c>
      <c r="H54" s="26">
        <v>11374</v>
      </c>
      <c r="I54" s="26">
        <v>45</v>
      </c>
      <c r="J54" s="26">
        <v>140</v>
      </c>
      <c r="K54" s="26">
        <v>22</v>
      </c>
      <c r="L54" s="26">
        <v>1</v>
      </c>
      <c r="M54" s="26">
        <v>0</v>
      </c>
      <c r="N54" s="26" t="s">
        <v>22</v>
      </c>
      <c r="O54" s="26" t="s">
        <v>70</v>
      </c>
      <c r="P54" s="26" t="s">
        <v>71</v>
      </c>
      <c r="Q54" s="26">
        <v>4</v>
      </c>
      <c r="R54" s="26" t="s">
        <v>31</v>
      </c>
      <c r="S54" s="26">
        <v>500</v>
      </c>
    </row>
    <row r="55" spans="1:19" x14ac:dyDescent="0.3">
      <c r="A55" s="31" t="s">
        <v>151</v>
      </c>
      <c r="B55" s="29">
        <v>45381</v>
      </c>
      <c r="C55" s="28" t="s">
        <v>152</v>
      </c>
      <c r="D55" s="28" t="s">
        <v>114</v>
      </c>
      <c r="E55" s="28" t="s">
        <v>457</v>
      </c>
      <c r="F55" s="28" t="s">
        <v>153</v>
      </c>
      <c r="G55" s="28">
        <v>34440</v>
      </c>
      <c r="H55" s="28">
        <v>18860</v>
      </c>
      <c r="I55" s="28">
        <v>50</v>
      </c>
      <c r="J55" s="28">
        <v>24</v>
      </c>
      <c r="K55" s="28">
        <v>164</v>
      </c>
      <c r="L55" s="28">
        <v>7</v>
      </c>
      <c r="M55" s="28">
        <v>7</v>
      </c>
      <c r="N55" s="28" t="s">
        <v>22</v>
      </c>
      <c r="O55" s="28" t="s">
        <v>97</v>
      </c>
      <c r="P55" s="28" t="s">
        <v>98</v>
      </c>
      <c r="Q55" s="28">
        <v>8</v>
      </c>
      <c r="R55" s="28" t="s">
        <v>31</v>
      </c>
      <c r="S55" s="28">
        <v>1000</v>
      </c>
    </row>
    <row r="56" spans="1:19" x14ac:dyDescent="0.3">
      <c r="A56" s="30" t="s">
        <v>154</v>
      </c>
      <c r="B56" s="27">
        <v>45518</v>
      </c>
      <c r="C56" s="26" t="s">
        <v>67</v>
      </c>
      <c r="D56" s="26" t="s">
        <v>20</v>
      </c>
      <c r="E56" s="26" t="s">
        <v>456</v>
      </c>
      <c r="F56" s="26" t="s">
        <v>68</v>
      </c>
      <c r="G56" s="26">
        <v>72967</v>
      </c>
      <c r="H56" s="26">
        <v>38252</v>
      </c>
      <c r="I56" s="26">
        <v>70</v>
      </c>
      <c r="J56" s="26">
        <v>71</v>
      </c>
      <c r="K56" s="26">
        <v>131</v>
      </c>
      <c r="L56" s="26">
        <v>6</v>
      </c>
      <c r="M56" s="26">
        <v>3</v>
      </c>
      <c r="N56" s="26" t="s">
        <v>36</v>
      </c>
      <c r="O56" s="26" t="s">
        <v>23</v>
      </c>
      <c r="P56" s="26" t="s">
        <v>23</v>
      </c>
      <c r="Q56" s="26">
        <v>6</v>
      </c>
      <c r="R56" s="26" t="s">
        <v>31</v>
      </c>
      <c r="S56" s="26">
        <v>0</v>
      </c>
    </row>
    <row r="57" spans="1:19" x14ac:dyDescent="0.3">
      <c r="A57" s="31" t="s">
        <v>155</v>
      </c>
      <c r="B57" s="29">
        <v>45303</v>
      </c>
      <c r="C57" s="28" t="s">
        <v>135</v>
      </c>
      <c r="D57" s="28" t="s">
        <v>34</v>
      </c>
      <c r="E57" s="28" t="s">
        <v>457</v>
      </c>
      <c r="F57" s="28" t="s">
        <v>136</v>
      </c>
      <c r="G57" s="28">
        <v>138166</v>
      </c>
      <c r="H57" s="28">
        <v>62480</v>
      </c>
      <c r="I57" s="28">
        <v>35</v>
      </c>
      <c r="J57" s="28">
        <v>140</v>
      </c>
      <c r="K57" s="28">
        <v>142</v>
      </c>
      <c r="L57" s="28">
        <v>7</v>
      </c>
      <c r="M57" s="28">
        <v>5</v>
      </c>
      <c r="N57" s="28" t="s">
        <v>41</v>
      </c>
      <c r="O57" s="28" t="s">
        <v>147</v>
      </c>
      <c r="P57" s="28" t="s">
        <v>148</v>
      </c>
      <c r="Q57" s="28">
        <v>8</v>
      </c>
      <c r="R57" s="28" t="s">
        <v>31</v>
      </c>
      <c r="S57" s="28">
        <v>300</v>
      </c>
    </row>
    <row r="58" spans="1:19" x14ac:dyDescent="0.3">
      <c r="A58" s="30" t="s">
        <v>156</v>
      </c>
      <c r="B58" s="27">
        <v>45309</v>
      </c>
      <c r="C58" s="26" t="s">
        <v>73</v>
      </c>
      <c r="D58" s="26" t="s">
        <v>74</v>
      </c>
      <c r="E58" s="26" t="s">
        <v>456</v>
      </c>
      <c r="F58" s="26" t="s">
        <v>75</v>
      </c>
      <c r="G58" s="26">
        <v>100793</v>
      </c>
      <c r="H58" s="26">
        <v>48642</v>
      </c>
      <c r="I58" s="26">
        <v>55</v>
      </c>
      <c r="J58" s="26">
        <v>86</v>
      </c>
      <c r="K58" s="26">
        <v>121</v>
      </c>
      <c r="L58" s="26">
        <v>3</v>
      </c>
      <c r="M58" s="26">
        <v>1</v>
      </c>
      <c r="N58" s="26" t="s">
        <v>36</v>
      </c>
      <c r="O58" s="26" t="s">
        <v>147</v>
      </c>
      <c r="P58" s="26" t="s">
        <v>148</v>
      </c>
      <c r="Q58" s="26">
        <v>5</v>
      </c>
      <c r="R58" s="26" t="s">
        <v>31</v>
      </c>
      <c r="S58" s="26">
        <v>300</v>
      </c>
    </row>
    <row r="59" spans="1:19" x14ac:dyDescent="0.3">
      <c r="A59" s="31" t="s">
        <v>157</v>
      </c>
      <c r="B59" s="29">
        <v>45330</v>
      </c>
      <c r="C59" s="28" t="s">
        <v>77</v>
      </c>
      <c r="D59" s="28" t="s">
        <v>74</v>
      </c>
      <c r="E59" s="28" t="s">
        <v>456</v>
      </c>
      <c r="F59" s="28" t="s">
        <v>78</v>
      </c>
      <c r="G59" s="28">
        <v>46315</v>
      </c>
      <c r="H59" s="28">
        <v>23393</v>
      </c>
      <c r="I59" s="28">
        <v>70</v>
      </c>
      <c r="J59" s="28">
        <v>44</v>
      </c>
      <c r="K59" s="28">
        <v>157</v>
      </c>
      <c r="L59" s="28">
        <v>2</v>
      </c>
      <c r="M59" s="28">
        <v>6</v>
      </c>
      <c r="N59" s="28" t="s">
        <v>41</v>
      </c>
      <c r="O59" s="28" t="s">
        <v>445</v>
      </c>
      <c r="P59" s="28" t="s">
        <v>42</v>
      </c>
      <c r="Q59" s="28">
        <v>5</v>
      </c>
      <c r="R59" s="28" t="s">
        <v>31</v>
      </c>
      <c r="S59" s="28">
        <v>0</v>
      </c>
    </row>
    <row r="60" spans="1:19" x14ac:dyDescent="0.3">
      <c r="A60" s="30" t="s">
        <v>158</v>
      </c>
      <c r="B60" s="27">
        <v>45347</v>
      </c>
      <c r="C60" s="26" t="s">
        <v>159</v>
      </c>
      <c r="D60" s="26" t="s">
        <v>45</v>
      </c>
      <c r="E60" s="26" t="s">
        <v>456</v>
      </c>
      <c r="F60" s="26" t="s">
        <v>160</v>
      </c>
      <c r="G60" s="26">
        <v>64752</v>
      </c>
      <c r="H60" s="26">
        <v>29536</v>
      </c>
      <c r="I60" s="26">
        <v>60</v>
      </c>
      <c r="J60" s="26">
        <v>131</v>
      </c>
      <c r="K60" s="26">
        <v>71</v>
      </c>
      <c r="L60" s="26">
        <v>1</v>
      </c>
      <c r="M60" s="26">
        <v>3</v>
      </c>
      <c r="N60" s="26" t="s">
        <v>22</v>
      </c>
      <c r="O60" s="26" t="s">
        <v>29</v>
      </c>
      <c r="P60" s="26" t="s">
        <v>30</v>
      </c>
      <c r="Q60" s="26">
        <v>4</v>
      </c>
      <c r="R60" s="26" t="s">
        <v>31</v>
      </c>
      <c r="S60" s="26">
        <v>750</v>
      </c>
    </row>
    <row r="61" spans="1:19" x14ac:dyDescent="0.3">
      <c r="A61" s="31" t="s">
        <v>161</v>
      </c>
      <c r="B61" s="29">
        <v>45341</v>
      </c>
      <c r="C61" s="28" t="s">
        <v>19</v>
      </c>
      <c r="D61" s="28" t="s">
        <v>20</v>
      </c>
      <c r="E61" s="28" t="s">
        <v>457</v>
      </c>
      <c r="F61" s="28" t="s">
        <v>21</v>
      </c>
      <c r="G61" s="28">
        <v>74305</v>
      </c>
      <c r="H61" s="28">
        <v>35898</v>
      </c>
      <c r="I61" s="28">
        <v>80</v>
      </c>
      <c r="J61" s="28">
        <v>41</v>
      </c>
      <c r="K61" s="28">
        <v>193</v>
      </c>
      <c r="L61" s="28">
        <v>13</v>
      </c>
      <c r="M61" s="28">
        <v>9</v>
      </c>
      <c r="N61" s="28" t="s">
        <v>22</v>
      </c>
      <c r="O61" s="28" t="s">
        <v>29</v>
      </c>
      <c r="P61" s="28" t="s">
        <v>30</v>
      </c>
      <c r="Q61" s="28">
        <v>6</v>
      </c>
      <c r="R61" s="28" t="s">
        <v>31</v>
      </c>
      <c r="S61" s="28">
        <v>750</v>
      </c>
    </row>
    <row r="62" spans="1:19" x14ac:dyDescent="0.3">
      <c r="A62" s="30" t="s">
        <v>162</v>
      </c>
      <c r="B62" s="27">
        <v>45403</v>
      </c>
      <c r="C62" s="26" t="s">
        <v>159</v>
      </c>
      <c r="D62" s="26" t="s">
        <v>45</v>
      </c>
      <c r="E62" s="26" t="s">
        <v>456</v>
      </c>
      <c r="F62" s="26" t="s">
        <v>160</v>
      </c>
      <c r="G62" s="26">
        <v>112860</v>
      </c>
      <c r="H62" s="26">
        <v>57380</v>
      </c>
      <c r="I62" s="26">
        <v>60</v>
      </c>
      <c r="J62" s="26">
        <v>52</v>
      </c>
      <c r="K62" s="26">
        <v>190</v>
      </c>
      <c r="L62" s="26">
        <v>17</v>
      </c>
      <c r="M62" s="26">
        <v>5</v>
      </c>
      <c r="N62" s="26" t="s">
        <v>22</v>
      </c>
      <c r="O62" s="26" t="s">
        <v>23</v>
      </c>
      <c r="P62" s="26" t="s">
        <v>23</v>
      </c>
      <c r="Q62" s="26">
        <v>3</v>
      </c>
      <c r="R62" s="26" t="s">
        <v>31</v>
      </c>
      <c r="S62" s="26">
        <v>300</v>
      </c>
    </row>
    <row r="63" spans="1:19" x14ac:dyDescent="0.3">
      <c r="A63" s="31" t="s">
        <v>163</v>
      </c>
      <c r="B63" s="29">
        <v>45462</v>
      </c>
      <c r="C63" s="28" t="s">
        <v>80</v>
      </c>
      <c r="D63" s="28" t="s">
        <v>20</v>
      </c>
      <c r="E63" s="28" t="s">
        <v>457</v>
      </c>
      <c r="F63" s="28" t="s">
        <v>81</v>
      </c>
      <c r="G63" s="28">
        <v>62088</v>
      </c>
      <c r="H63" s="28">
        <v>40092</v>
      </c>
      <c r="I63" s="28">
        <v>50</v>
      </c>
      <c r="J63" s="28">
        <v>34</v>
      </c>
      <c r="K63" s="28">
        <v>156</v>
      </c>
      <c r="L63" s="28">
        <v>18</v>
      </c>
      <c r="M63" s="28">
        <v>3</v>
      </c>
      <c r="N63" s="28" t="s">
        <v>36</v>
      </c>
      <c r="O63" s="28" t="s">
        <v>147</v>
      </c>
      <c r="P63" s="28" t="s">
        <v>148</v>
      </c>
      <c r="Q63" s="28">
        <v>7</v>
      </c>
      <c r="R63" s="28" t="s">
        <v>31</v>
      </c>
      <c r="S63" s="28">
        <v>500</v>
      </c>
    </row>
    <row r="64" spans="1:19" x14ac:dyDescent="0.3">
      <c r="A64" s="30" t="s">
        <v>164</v>
      </c>
      <c r="B64" s="27">
        <v>45420</v>
      </c>
      <c r="C64" s="26" t="s">
        <v>26</v>
      </c>
      <c r="D64" s="26" t="s">
        <v>27</v>
      </c>
      <c r="E64" s="26" t="s">
        <v>456</v>
      </c>
      <c r="F64" s="26" t="s">
        <v>28</v>
      </c>
      <c r="G64" s="26">
        <v>17250</v>
      </c>
      <c r="H64" s="26">
        <v>11475</v>
      </c>
      <c r="I64" s="26">
        <v>45</v>
      </c>
      <c r="J64" s="26">
        <v>19</v>
      </c>
      <c r="K64" s="26">
        <v>75</v>
      </c>
      <c r="L64" s="26">
        <v>5</v>
      </c>
      <c r="M64" s="26">
        <v>0</v>
      </c>
      <c r="N64" s="26" t="s">
        <v>22</v>
      </c>
      <c r="O64" s="26" t="s">
        <v>147</v>
      </c>
      <c r="P64" s="26" t="s">
        <v>148</v>
      </c>
      <c r="Q64" s="26">
        <v>8</v>
      </c>
      <c r="R64" s="26" t="s">
        <v>31</v>
      </c>
      <c r="S64" s="26">
        <v>0</v>
      </c>
    </row>
    <row r="65" spans="1:19" x14ac:dyDescent="0.3">
      <c r="A65" s="31" t="s">
        <v>165</v>
      </c>
      <c r="B65" s="29">
        <v>45521</v>
      </c>
      <c r="C65" s="28" t="s">
        <v>124</v>
      </c>
      <c r="D65" s="28" t="s">
        <v>74</v>
      </c>
      <c r="E65" s="28" t="s">
        <v>457</v>
      </c>
      <c r="F65" s="28" t="s">
        <v>125</v>
      </c>
      <c r="G65" s="28">
        <v>12324</v>
      </c>
      <c r="H65" s="28">
        <v>5876</v>
      </c>
      <c r="I65" s="28">
        <v>50</v>
      </c>
      <c r="J65" s="28">
        <v>69</v>
      </c>
      <c r="K65" s="28">
        <v>26</v>
      </c>
      <c r="L65" s="28">
        <v>2</v>
      </c>
      <c r="M65" s="28">
        <v>1</v>
      </c>
      <c r="N65" s="28" t="s">
        <v>41</v>
      </c>
      <c r="O65" s="28" t="s">
        <v>445</v>
      </c>
      <c r="P65" s="28" t="s">
        <v>42</v>
      </c>
      <c r="Q65" s="28">
        <v>6</v>
      </c>
      <c r="R65" s="28" t="s">
        <v>24</v>
      </c>
      <c r="S65" s="28">
        <v>0</v>
      </c>
    </row>
    <row r="66" spans="1:19" x14ac:dyDescent="0.3">
      <c r="A66" s="30" t="s">
        <v>166</v>
      </c>
      <c r="B66" s="27">
        <v>45329</v>
      </c>
      <c r="C66" s="26" t="s">
        <v>73</v>
      </c>
      <c r="D66" s="26" t="s">
        <v>74</v>
      </c>
      <c r="E66" s="26" t="s">
        <v>456</v>
      </c>
      <c r="F66" s="26" t="s">
        <v>75</v>
      </c>
      <c r="G66" s="26">
        <v>33453</v>
      </c>
      <c r="H66" s="26">
        <v>16284</v>
      </c>
      <c r="I66" s="26">
        <v>45</v>
      </c>
      <c r="J66" s="26">
        <v>19</v>
      </c>
      <c r="K66" s="26">
        <v>177</v>
      </c>
      <c r="L66" s="26">
        <v>17</v>
      </c>
      <c r="M66" s="26">
        <v>5</v>
      </c>
      <c r="N66" s="26" t="s">
        <v>22</v>
      </c>
      <c r="O66" s="26" t="s">
        <v>447</v>
      </c>
      <c r="P66" s="26" t="s">
        <v>63</v>
      </c>
      <c r="Q66" s="26">
        <v>7</v>
      </c>
      <c r="R66" s="26" t="s">
        <v>31</v>
      </c>
      <c r="S66" s="26">
        <v>1000</v>
      </c>
    </row>
    <row r="67" spans="1:19" x14ac:dyDescent="0.3">
      <c r="A67" s="31" t="s">
        <v>167</v>
      </c>
      <c r="B67" s="29">
        <v>45523</v>
      </c>
      <c r="C67" s="28" t="s">
        <v>48</v>
      </c>
      <c r="D67" s="28" t="s">
        <v>49</v>
      </c>
      <c r="E67" s="28" t="s">
        <v>457</v>
      </c>
      <c r="F67" s="28" t="s">
        <v>50</v>
      </c>
      <c r="G67" s="28">
        <v>12714</v>
      </c>
      <c r="H67" s="28">
        <v>8346</v>
      </c>
      <c r="I67" s="28">
        <v>70</v>
      </c>
      <c r="J67" s="28">
        <v>36</v>
      </c>
      <c r="K67" s="28">
        <v>39</v>
      </c>
      <c r="L67" s="28">
        <v>3</v>
      </c>
      <c r="M67" s="28">
        <v>1</v>
      </c>
      <c r="N67" s="28" t="s">
        <v>22</v>
      </c>
      <c r="O67" s="28" t="s">
        <v>147</v>
      </c>
      <c r="P67" s="28" t="s">
        <v>148</v>
      </c>
      <c r="Q67" s="28">
        <v>8</v>
      </c>
      <c r="R67" s="28" t="s">
        <v>31</v>
      </c>
      <c r="S67" s="28">
        <v>500</v>
      </c>
    </row>
    <row r="68" spans="1:19" x14ac:dyDescent="0.3">
      <c r="A68" s="30" t="s">
        <v>168</v>
      </c>
      <c r="B68" s="27">
        <v>45513</v>
      </c>
      <c r="C68" s="26" t="s">
        <v>121</v>
      </c>
      <c r="D68" s="26" t="s">
        <v>20</v>
      </c>
      <c r="E68" s="26" t="s">
        <v>456</v>
      </c>
      <c r="F68" s="26" t="s">
        <v>109</v>
      </c>
      <c r="G68" s="26">
        <v>36300</v>
      </c>
      <c r="H68" s="26">
        <v>19635</v>
      </c>
      <c r="I68" s="26">
        <v>45</v>
      </c>
      <c r="J68" s="26">
        <v>26</v>
      </c>
      <c r="K68" s="26">
        <v>165</v>
      </c>
      <c r="L68" s="26">
        <v>17</v>
      </c>
      <c r="M68" s="26">
        <v>5</v>
      </c>
      <c r="N68" s="26" t="s">
        <v>41</v>
      </c>
      <c r="O68" s="26" t="s">
        <v>446</v>
      </c>
      <c r="P68" s="26" t="s">
        <v>103</v>
      </c>
      <c r="Q68" s="26">
        <v>8</v>
      </c>
      <c r="R68" s="26" t="s">
        <v>24</v>
      </c>
      <c r="S68" s="26">
        <v>750</v>
      </c>
    </row>
    <row r="69" spans="1:19" x14ac:dyDescent="0.3">
      <c r="A69" s="31" t="s">
        <v>169</v>
      </c>
      <c r="B69" s="29">
        <v>45472</v>
      </c>
      <c r="C69" s="28" t="s">
        <v>65</v>
      </c>
      <c r="D69" s="28" t="s">
        <v>34</v>
      </c>
      <c r="E69" s="28" t="s">
        <v>457</v>
      </c>
      <c r="F69" s="28" t="s">
        <v>35</v>
      </c>
      <c r="G69" s="28">
        <v>8736</v>
      </c>
      <c r="H69" s="28">
        <v>4410</v>
      </c>
      <c r="I69" s="28">
        <v>80</v>
      </c>
      <c r="J69" s="28">
        <v>20</v>
      </c>
      <c r="K69" s="28">
        <v>42</v>
      </c>
      <c r="L69" s="28">
        <v>4</v>
      </c>
      <c r="M69" s="28">
        <v>1</v>
      </c>
      <c r="N69" s="28" t="s">
        <v>22</v>
      </c>
      <c r="O69" s="28" t="s">
        <v>70</v>
      </c>
      <c r="P69" s="28" t="s">
        <v>71</v>
      </c>
      <c r="Q69" s="28">
        <v>7</v>
      </c>
      <c r="R69" s="28" t="s">
        <v>31</v>
      </c>
      <c r="S69" s="28">
        <v>200</v>
      </c>
    </row>
    <row r="70" spans="1:19" x14ac:dyDescent="0.3">
      <c r="A70" s="30" t="s">
        <v>170</v>
      </c>
      <c r="B70" s="27">
        <v>45306</v>
      </c>
      <c r="C70" s="26" t="s">
        <v>90</v>
      </c>
      <c r="D70" s="26" t="s">
        <v>34</v>
      </c>
      <c r="E70" s="26" t="s">
        <v>456</v>
      </c>
      <c r="F70" s="26" t="s">
        <v>91</v>
      </c>
      <c r="G70" s="26">
        <v>15067</v>
      </c>
      <c r="H70" s="26">
        <v>9638</v>
      </c>
      <c r="I70" s="26">
        <v>60</v>
      </c>
      <c r="J70" s="26">
        <v>26</v>
      </c>
      <c r="K70" s="26">
        <v>61</v>
      </c>
      <c r="L70" s="26">
        <v>6</v>
      </c>
      <c r="M70" s="26">
        <v>0</v>
      </c>
      <c r="N70" s="26" t="s">
        <v>22</v>
      </c>
      <c r="O70" s="26" t="s">
        <v>447</v>
      </c>
      <c r="P70" s="26" t="s">
        <v>63</v>
      </c>
      <c r="Q70" s="26">
        <v>4</v>
      </c>
      <c r="R70" s="26" t="s">
        <v>24</v>
      </c>
      <c r="S70" s="26">
        <v>0</v>
      </c>
    </row>
    <row r="71" spans="1:19" x14ac:dyDescent="0.3">
      <c r="A71" s="31" t="s">
        <v>171</v>
      </c>
      <c r="B71" s="29">
        <v>45481</v>
      </c>
      <c r="C71" s="28" t="s">
        <v>152</v>
      </c>
      <c r="D71" s="28" t="s">
        <v>114</v>
      </c>
      <c r="E71" s="28" t="s">
        <v>456</v>
      </c>
      <c r="F71" s="28" t="s">
        <v>153</v>
      </c>
      <c r="G71" s="28">
        <v>23652</v>
      </c>
      <c r="H71" s="28">
        <v>15228</v>
      </c>
      <c r="I71" s="28">
        <v>40</v>
      </c>
      <c r="J71" s="28">
        <v>62</v>
      </c>
      <c r="K71" s="28">
        <v>54</v>
      </c>
      <c r="L71" s="28">
        <v>6</v>
      </c>
      <c r="M71" s="28">
        <v>2</v>
      </c>
      <c r="N71" s="28" t="s">
        <v>22</v>
      </c>
      <c r="O71" s="28" t="s">
        <v>445</v>
      </c>
      <c r="P71" s="28" t="s">
        <v>42</v>
      </c>
      <c r="Q71" s="28">
        <v>8</v>
      </c>
      <c r="R71" s="28" t="s">
        <v>24</v>
      </c>
      <c r="S71" s="28">
        <v>300</v>
      </c>
    </row>
    <row r="72" spans="1:19" x14ac:dyDescent="0.3">
      <c r="A72" s="30" t="s">
        <v>172</v>
      </c>
      <c r="B72" s="27">
        <v>45431</v>
      </c>
      <c r="C72" s="26" t="s">
        <v>95</v>
      </c>
      <c r="D72" s="26" t="s">
        <v>49</v>
      </c>
      <c r="E72" s="26" t="s">
        <v>457</v>
      </c>
      <c r="F72" s="26" t="s">
        <v>96</v>
      </c>
      <c r="G72" s="26">
        <v>69372</v>
      </c>
      <c r="H72" s="26">
        <v>33276</v>
      </c>
      <c r="I72" s="26">
        <v>70</v>
      </c>
      <c r="J72" s="26">
        <v>32</v>
      </c>
      <c r="K72" s="26">
        <v>188</v>
      </c>
      <c r="L72" s="26">
        <v>15</v>
      </c>
      <c r="M72" s="26">
        <v>8</v>
      </c>
      <c r="N72" s="26" t="s">
        <v>22</v>
      </c>
      <c r="O72" s="26" t="s">
        <v>23</v>
      </c>
      <c r="P72" s="26" t="s">
        <v>23</v>
      </c>
      <c r="Q72" s="26">
        <v>6</v>
      </c>
      <c r="R72" s="26" t="s">
        <v>31</v>
      </c>
      <c r="S72" s="26">
        <v>0</v>
      </c>
    </row>
    <row r="73" spans="1:19" x14ac:dyDescent="0.3">
      <c r="A73" s="31" t="s">
        <v>173</v>
      </c>
      <c r="B73" s="29">
        <v>45400</v>
      </c>
      <c r="C73" s="28" t="s">
        <v>65</v>
      </c>
      <c r="D73" s="28" t="s">
        <v>34</v>
      </c>
      <c r="E73" s="28" t="s">
        <v>457</v>
      </c>
      <c r="F73" s="28" t="s">
        <v>35</v>
      </c>
      <c r="G73" s="28">
        <v>37000</v>
      </c>
      <c r="H73" s="28">
        <v>19375</v>
      </c>
      <c r="I73" s="28">
        <v>40</v>
      </c>
      <c r="J73" s="28">
        <v>24</v>
      </c>
      <c r="K73" s="28">
        <v>125</v>
      </c>
      <c r="L73" s="28">
        <v>4</v>
      </c>
      <c r="M73" s="28">
        <v>3</v>
      </c>
      <c r="N73" s="28" t="s">
        <v>22</v>
      </c>
      <c r="O73" s="28" t="s">
        <v>29</v>
      </c>
      <c r="P73" s="28" t="s">
        <v>30</v>
      </c>
      <c r="Q73" s="28">
        <v>6</v>
      </c>
      <c r="R73" s="28" t="s">
        <v>31</v>
      </c>
      <c r="S73" s="28">
        <v>500</v>
      </c>
    </row>
    <row r="74" spans="1:19" x14ac:dyDescent="0.3">
      <c r="A74" s="30" t="s">
        <v>174</v>
      </c>
      <c r="B74" s="27">
        <v>45331</v>
      </c>
      <c r="C74" s="26" t="s">
        <v>77</v>
      </c>
      <c r="D74" s="26" t="s">
        <v>74</v>
      </c>
      <c r="E74" s="26" t="s">
        <v>456</v>
      </c>
      <c r="F74" s="26" t="s">
        <v>78</v>
      </c>
      <c r="G74" s="26">
        <v>57230</v>
      </c>
      <c r="H74" s="26">
        <v>33984</v>
      </c>
      <c r="I74" s="26">
        <v>70</v>
      </c>
      <c r="J74" s="26">
        <v>49</v>
      </c>
      <c r="K74" s="26">
        <v>118</v>
      </c>
      <c r="L74" s="26">
        <v>5</v>
      </c>
      <c r="M74" s="26">
        <v>1</v>
      </c>
      <c r="N74" s="26" t="s">
        <v>41</v>
      </c>
      <c r="O74" s="26" t="s">
        <v>29</v>
      </c>
      <c r="P74" s="26" t="s">
        <v>30</v>
      </c>
      <c r="Q74" s="26">
        <v>6</v>
      </c>
      <c r="R74" s="26" t="s">
        <v>31</v>
      </c>
      <c r="S74" s="26">
        <v>500</v>
      </c>
    </row>
    <row r="75" spans="1:19" x14ac:dyDescent="0.3">
      <c r="A75" s="31" t="s">
        <v>175</v>
      </c>
      <c r="B75" s="29">
        <v>45332</v>
      </c>
      <c r="C75" s="28" t="s">
        <v>54</v>
      </c>
      <c r="D75" s="28" t="s">
        <v>27</v>
      </c>
      <c r="E75" s="28" t="s">
        <v>457</v>
      </c>
      <c r="F75" s="28" t="s">
        <v>55</v>
      </c>
      <c r="G75" s="28">
        <v>35554</v>
      </c>
      <c r="H75" s="28">
        <v>22620</v>
      </c>
      <c r="I75" s="28">
        <v>50</v>
      </c>
      <c r="J75" s="28">
        <v>63</v>
      </c>
      <c r="K75" s="28">
        <v>58</v>
      </c>
      <c r="L75" s="28">
        <v>4</v>
      </c>
      <c r="M75" s="28">
        <v>2</v>
      </c>
      <c r="N75" s="28" t="s">
        <v>41</v>
      </c>
      <c r="O75" s="28" t="s">
        <v>446</v>
      </c>
      <c r="P75" s="28" t="s">
        <v>103</v>
      </c>
      <c r="Q75" s="28">
        <v>8</v>
      </c>
      <c r="R75" s="28" t="s">
        <v>31</v>
      </c>
      <c r="S75" s="28">
        <v>500</v>
      </c>
    </row>
    <row r="76" spans="1:19" x14ac:dyDescent="0.3">
      <c r="A76" s="30" t="s">
        <v>176</v>
      </c>
      <c r="B76" s="27">
        <v>45423</v>
      </c>
      <c r="C76" s="26" t="s">
        <v>131</v>
      </c>
      <c r="D76" s="26" t="s">
        <v>114</v>
      </c>
      <c r="E76" s="26" t="s">
        <v>456</v>
      </c>
      <c r="F76" s="26" t="s">
        <v>132</v>
      </c>
      <c r="G76" s="26">
        <v>51800</v>
      </c>
      <c r="H76" s="26">
        <v>25375</v>
      </c>
      <c r="I76" s="26">
        <v>40</v>
      </c>
      <c r="J76" s="26">
        <v>27</v>
      </c>
      <c r="K76" s="26">
        <v>175</v>
      </c>
      <c r="L76" s="26">
        <v>14</v>
      </c>
      <c r="M76" s="26">
        <v>7</v>
      </c>
      <c r="N76" s="26" t="s">
        <v>22</v>
      </c>
      <c r="O76" s="26" t="s">
        <v>147</v>
      </c>
      <c r="P76" s="26" t="s">
        <v>148</v>
      </c>
      <c r="Q76" s="26">
        <v>6</v>
      </c>
      <c r="R76" s="26" t="s">
        <v>31</v>
      </c>
      <c r="S76" s="26">
        <v>500</v>
      </c>
    </row>
    <row r="77" spans="1:19" x14ac:dyDescent="0.3">
      <c r="A77" s="31" t="s">
        <v>177</v>
      </c>
      <c r="B77" s="29">
        <v>45594</v>
      </c>
      <c r="C77" s="28" t="s">
        <v>90</v>
      </c>
      <c r="D77" s="28" t="s">
        <v>34</v>
      </c>
      <c r="E77" s="26" t="s">
        <v>456</v>
      </c>
      <c r="F77" s="28" t="s">
        <v>91</v>
      </c>
      <c r="G77" s="28">
        <v>3683</v>
      </c>
      <c r="H77" s="28">
        <v>1740</v>
      </c>
      <c r="I77" s="28">
        <v>80</v>
      </c>
      <c r="J77" s="28">
        <v>14</v>
      </c>
      <c r="K77" s="28">
        <v>29</v>
      </c>
      <c r="L77" s="28">
        <v>2</v>
      </c>
      <c r="M77" s="28">
        <v>0</v>
      </c>
      <c r="N77" s="28" t="s">
        <v>41</v>
      </c>
      <c r="O77" s="28" t="s">
        <v>445</v>
      </c>
      <c r="P77" s="28" t="s">
        <v>42</v>
      </c>
      <c r="Q77" s="28">
        <v>7</v>
      </c>
      <c r="R77" s="28" t="s">
        <v>24</v>
      </c>
      <c r="S77" s="28">
        <v>750</v>
      </c>
    </row>
    <row r="78" spans="1:19" x14ac:dyDescent="0.3">
      <c r="A78" s="30" t="s">
        <v>178</v>
      </c>
      <c r="B78" s="27">
        <v>45456</v>
      </c>
      <c r="C78" s="26" t="s">
        <v>179</v>
      </c>
      <c r="D78" s="26" t="s">
        <v>61</v>
      </c>
      <c r="E78" s="28" t="s">
        <v>457</v>
      </c>
      <c r="F78" s="26" t="s">
        <v>180</v>
      </c>
      <c r="G78" s="26">
        <v>88638</v>
      </c>
      <c r="H78" s="26">
        <v>43248</v>
      </c>
      <c r="I78" s="26">
        <v>35</v>
      </c>
      <c r="J78" s="26">
        <v>97</v>
      </c>
      <c r="K78" s="26">
        <v>102</v>
      </c>
      <c r="L78" s="26">
        <v>8</v>
      </c>
      <c r="M78" s="26">
        <v>5</v>
      </c>
      <c r="N78" s="26" t="s">
        <v>22</v>
      </c>
      <c r="O78" s="26" t="s">
        <v>445</v>
      </c>
      <c r="P78" s="26" t="s">
        <v>42</v>
      </c>
      <c r="Q78" s="26">
        <v>6</v>
      </c>
      <c r="R78" s="26" t="s">
        <v>24</v>
      </c>
      <c r="S78" s="26">
        <v>200</v>
      </c>
    </row>
    <row r="79" spans="1:19" x14ac:dyDescent="0.3">
      <c r="A79" s="31" t="s">
        <v>181</v>
      </c>
      <c r="B79" s="29">
        <v>45482</v>
      </c>
      <c r="C79" s="28" t="s">
        <v>159</v>
      </c>
      <c r="D79" s="28" t="s">
        <v>45</v>
      </c>
      <c r="E79" s="26" t="s">
        <v>456</v>
      </c>
      <c r="F79" s="28" t="s">
        <v>160</v>
      </c>
      <c r="G79" s="28">
        <v>69660</v>
      </c>
      <c r="H79" s="28">
        <v>44820</v>
      </c>
      <c r="I79" s="28">
        <v>35</v>
      </c>
      <c r="J79" s="28">
        <v>52</v>
      </c>
      <c r="K79" s="28">
        <v>180</v>
      </c>
      <c r="L79" s="28">
        <v>2</v>
      </c>
      <c r="M79" s="28">
        <v>5</v>
      </c>
      <c r="N79" s="28" t="s">
        <v>22</v>
      </c>
      <c r="O79" s="28" t="s">
        <v>97</v>
      </c>
      <c r="P79" s="28" t="s">
        <v>98</v>
      </c>
      <c r="Q79" s="28">
        <v>8</v>
      </c>
      <c r="R79" s="28" t="s">
        <v>31</v>
      </c>
      <c r="S79" s="28">
        <v>300</v>
      </c>
    </row>
    <row r="80" spans="1:19" x14ac:dyDescent="0.3">
      <c r="A80" s="30" t="s">
        <v>182</v>
      </c>
      <c r="B80" s="27">
        <v>45590</v>
      </c>
      <c r="C80" s="26" t="s">
        <v>121</v>
      </c>
      <c r="D80" s="26" t="s">
        <v>20</v>
      </c>
      <c r="E80" s="28" t="s">
        <v>457</v>
      </c>
      <c r="F80" s="26" t="s">
        <v>109</v>
      </c>
      <c r="G80" s="26">
        <v>171892</v>
      </c>
      <c r="H80" s="26">
        <v>92316</v>
      </c>
      <c r="I80" s="26">
        <v>70</v>
      </c>
      <c r="J80" s="26">
        <v>78</v>
      </c>
      <c r="K80" s="26">
        <v>196</v>
      </c>
      <c r="L80" s="26">
        <v>9</v>
      </c>
      <c r="M80" s="26">
        <v>8</v>
      </c>
      <c r="N80" s="26" t="s">
        <v>41</v>
      </c>
      <c r="O80" s="26" t="s">
        <v>447</v>
      </c>
      <c r="P80" s="26" t="s">
        <v>63</v>
      </c>
      <c r="Q80" s="26">
        <v>3</v>
      </c>
      <c r="R80" s="26" t="s">
        <v>31</v>
      </c>
      <c r="S80" s="26">
        <v>100</v>
      </c>
    </row>
    <row r="81" spans="1:19" x14ac:dyDescent="0.3">
      <c r="A81" s="31" t="s">
        <v>183</v>
      </c>
      <c r="B81" s="29">
        <v>45477</v>
      </c>
      <c r="C81" s="28" t="s">
        <v>139</v>
      </c>
      <c r="D81" s="28" t="s">
        <v>20</v>
      </c>
      <c r="E81" s="26" t="s">
        <v>456</v>
      </c>
      <c r="F81" s="28" t="s">
        <v>140</v>
      </c>
      <c r="G81" s="28">
        <v>17800</v>
      </c>
      <c r="H81" s="28">
        <v>8950</v>
      </c>
      <c r="I81" s="28">
        <v>80</v>
      </c>
      <c r="J81" s="28">
        <v>33</v>
      </c>
      <c r="K81" s="28">
        <v>50</v>
      </c>
      <c r="L81" s="28">
        <v>0</v>
      </c>
      <c r="M81" s="28">
        <v>1</v>
      </c>
      <c r="N81" s="28" t="s">
        <v>22</v>
      </c>
      <c r="O81" s="28" t="s">
        <v>446</v>
      </c>
      <c r="P81" s="28" t="s">
        <v>103</v>
      </c>
      <c r="Q81" s="28">
        <v>7</v>
      </c>
      <c r="R81" s="28" t="s">
        <v>24</v>
      </c>
      <c r="S81" s="28">
        <v>0</v>
      </c>
    </row>
    <row r="82" spans="1:19" x14ac:dyDescent="0.3">
      <c r="A82" s="30" t="s">
        <v>184</v>
      </c>
      <c r="B82" s="27">
        <v>45384</v>
      </c>
      <c r="C82" s="26" t="s">
        <v>152</v>
      </c>
      <c r="D82" s="26" t="s">
        <v>114</v>
      </c>
      <c r="E82" s="28" t="s">
        <v>457</v>
      </c>
      <c r="F82" s="26" t="s">
        <v>153</v>
      </c>
      <c r="G82" s="26">
        <v>105516</v>
      </c>
      <c r="H82" s="26">
        <v>51840</v>
      </c>
      <c r="I82" s="26">
        <v>80</v>
      </c>
      <c r="J82" s="26">
        <v>81</v>
      </c>
      <c r="K82" s="26">
        <v>108</v>
      </c>
      <c r="L82" s="26">
        <v>7</v>
      </c>
      <c r="M82" s="26">
        <v>4</v>
      </c>
      <c r="N82" s="26" t="s">
        <v>22</v>
      </c>
      <c r="O82" s="26" t="s">
        <v>447</v>
      </c>
      <c r="P82" s="26" t="s">
        <v>63</v>
      </c>
      <c r="Q82" s="26">
        <v>4</v>
      </c>
      <c r="R82" s="26" t="s">
        <v>31</v>
      </c>
      <c r="S82" s="26">
        <v>200</v>
      </c>
    </row>
    <row r="83" spans="1:19" x14ac:dyDescent="0.3">
      <c r="A83" s="31" t="s">
        <v>185</v>
      </c>
      <c r="B83" s="29">
        <v>45528</v>
      </c>
      <c r="C83" s="28" t="s">
        <v>73</v>
      </c>
      <c r="D83" s="28" t="s">
        <v>74</v>
      </c>
      <c r="E83" s="26" t="s">
        <v>456</v>
      </c>
      <c r="F83" s="28" t="s">
        <v>75</v>
      </c>
      <c r="G83" s="28">
        <v>29436</v>
      </c>
      <c r="H83" s="28">
        <v>16962</v>
      </c>
      <c r="I83" s="28">
        <v>70</v>
      </c>
      <c r="J83" s="28">
        <v>66</v>
      </c>
      <c r="K83" s="28">
        <v>66</v>
      </c>
      <c r="L83" s="28">
        <v>2</v>
      </c>
      <c r="M83" s="28">
        <v>2</v>
      </c>
      <c r="N83" s="28" t="s">
        <v>22</v>
      </c>
      <c r="O83" s="28" t="s">
        <v>447</v>
      </c>
      <c r="P83" s="28" t="s">
        <v>63</v>
      </c>
      <c r="Q83" s="28">
        <v>3</v>
      </c>
      <c r="R83" s="28" t="s">
        <v>31</v>
      </c>
      <c r="S83" s="28">
        <v>500</v>
      </c>
    </row>
    <row r="84" spans="1:19" x14ac:dyDescent="0.3">
      <c r="A84" s="30" t="s">
        <v>186</v>
      </c>
      <c r="B84" s="27">
        <v>45374</v>
      </c>
      <c r="C84" s="26" t="s">
        <v>121</v>
      </c>
      <c r="D84" s="26" t="s">
        <v>20</v>
      </c>
      <c r="E84" s="28" t="s">
        <v>457</v>
      </c>
      <c r="F84" s="26" t="s">
        <v>109</v>
      </c>
      <c r="G84" s="26">
        <v>28187</v>
      </c>
      <c r="H84" s="26">
        <v>16330</v>
      </c>
      <c r="I84" s="26">
        <v>70</v>
      </c>
      <c r="J84" s="26">
        <v>34</v>
      </c>
      <c r="K84" s="26">
        <v>71</v>
      </c>
      <c r="L84" s="26">
        <v>5</v>
      </c>
      <c r="M84" s="26">
        <v>0</v>
      </c>
      <c r="N84" s="26" t="s">
        <v>22</v>
      </c>
      <c r="O84" s="26" t="s">
        <v>447</v>
      </c>
      <c r="P84" s="26" t="s">
        <v>63</v>
      </c>
      <c r="Q84" s="26">
        <v>5</v>
      </c>
      <c r="R84" s="26" t="s">
        <v>24</v>
      </c>
      <c r="S84" s="26">
        <v>750</v>
      </c>
    </row>
    <row r="85" spans="1:19" x14ac:dyDescent="0.3">
      <c r="A85" s="31" t="s">
        <v>187</v>
      </c>
      <c r="B85" s="29">
        <v>45306</v>
      </c>
      <c r="C85" s="28" t="s">
        <v>188</v>
      </c>
      <c r="D85" s="28" t="s">
        <v>61</v>
      </c>
      <c r="E85" s="26" t="s">
        <v>456</v>
      </c>
      <c r="F85" s="28" t="s">
        <v>189</v>
      </c>
      <c r="G85" s="28">
        <v>27350</v>
      </c>
      <c r="H85" s="28">
        <v>18050</v>
      </c>
      <c r="I85" s="28">
        <v>60</v>
      </c>
      <c r="J85" s="28">
        <v>74</v>
      </c>
      <c r="K85" s="28">
        <v>50</v>
      </c>
      <c r="L85" s="28">
        <v>2</v>
      </c>
      <c r="M85" s="28">
        <v>1</v>
      </c>
      <c r="N85" s="28" t="s">
        <v>22</v>
      </c>
      <c r="O85" s="28" t="s">
        <v>445</v>
      </c>
      <c r="P85" s="28" t="s">
        <v>42</v>
      </c>
      <c r="Q85" s="28">
        <v>7</v>
      </c>
      <c r="R85" s="28" t="s">
        <v>31</v>
      </c>
      <c r="S85" s="28">
        <v>1000</v>
      </c>
    </row>
    <row r="86" spans="1:19" x14ac:dyDescent="0.3">
      <c r="A86" s="30" t="s">
        <v>190</v>
      </c>
      <c r="B86" s="27">
        <v>45368</v>
      </c>
      <c r="C86" s="26" t="s">
        <v>127</v>
      </c>
      <c r="D86" s="26" t="s">
        <v>61</v>
      </c>
      <c r="E86" s="28" t="s">
        <v>457</v>
      </c>
      <c r="F86" s="26" t="s">
        <v>128</v>
      </c>
      <c r="G86" s="26">
        <v>68992</v>
      </c>
      <c r="H86" s="26">
        <v>41536</v>
      </c>
      <c r="I86" s="26">
        <v>70</v>
      </c>
      <c r="J86" s="26">
        <v>69</v>
      </c>
      <c r="K86" s="26">
        <v>88</v>
      </c>
      <c r="L86" s="26">
        <v>4</v>
      </c>
      <c r="M86" s="26">
        <v>0</v>
      </c>
      <c r="N86" s="26" t="s">
        <v>22</v>
      </c>
      <c r="O86" s="26" t="s">
        <v>51</v>
      </c>
      <c r="P86" s="26" t="s">
        <v>52</v>
      </c>
      <c r="Q86" s="26">
        <v>6</v>
      </c>
      <c r="R86" s="26" t="s">
        <v>31</v>
      </c>
      <c r="S86" s="26">
        <v>750</v>
      </c>
    </row>
    <row r="87" spans="1:19" x14ac:dyDescent="0.3">
      <c r="A87" s="31" t="s">
        <v>191</v>
      </c>
      <c r="B87" s="29">
        <v>45586</v>
      </c>
      <c r="C87" s="28" t="s">
        <v>57</v>
      </c>
      <c r="D87" s="28" t="s">
        <v>27</v>
      </c>
      <c r="E87" s="26" t="s">
        <v>456</v>
      </c>
      <c r="F87" s="28" t="s">
        <v>58</v>
      </c>
      <c r="G87" s="28">
        <v>27664</v>
      </c>
      <c r="H87" s="28">
        <v>14440</v>
      </c>
      <c r="I87" s="28">
        <v>35</v>
      </c>
      <c r="J87" s="28">
        <v>45</v>
      </c>
      <c r="K87" s="28">
        <v>76</v>
      </c>
      <c r="L87" s="28">
        <v>6</v>
      </c>
      <c r="M87" s="28">
        <v>1</v>
      </c>
      <c r="N87" s="28" t="s">
        <v>22</v>
      </c>
      <c r="O87" s="28" t="s">
        <v>29</v>
      </c>
      <c r="P87" s="28" t="s">
        <v>30</v>
      </c>
      <c r="Q87" s="28">
        <v>7</v>
      </c>
      <c r="R87" s="28" t="s">
        <v>24</v>
      </c>
      <c r="S87" s="28">
        <v>500</v>
      </c>
    </row>
    <row r="88" spans="1:19" x14ac:dyDescent="0.3">
      <c r="A88" s="30" t="s">
        <v>192</v>
      </c>
      <c r="B88" s="27">
        <v>45532</v>
      </c>
      <c r="C88" s="26" t="s">
        <v>105</v>
      </c>
      <c r="D88" s="26" t="s">
        <v>49</v>
      </c>
      <c r="E88" s="28" t="s">
        <v>456</v>
      </c>
      <c r="F88" s="26" t="s">
        <v>106</v>
      </c>
      <c r="G88" s="26">
        <v>14946</v>
      </c>
      <c r="H88" s="26">
        <v>10388</v>
      </c>
      <c r="I88" s="26">
        <v>55</v>
      </c>
      <c r="J88" s="26">
        <v>19</v>
      </c>
      <c r="K88" s="26">
        <v>106</v>
      </c>
      <c r="L88" s="26">
        <v>5</v>
      </c>
      <c r="M88" s="26">
        <v>1</v>
      </c>
      <c r="N88" s="26" t="s">
        <v>22</v>
      </c>
      <c r="O88" s="26" t="s">
        <v>147</v>
      </c>
      <c r="P88" s="26" t="s">
        <v>148</v>
      </c>
      <c r="Q88" s="26">
        <v>3</v>
      </c>
      <c r="R88" s="26" t="s">
        <v>24</v>
      </c>
      <c r="S88" s="26">
        <v>500</v>
      </c>
    </row>
    <row r="89" spans="1:19" x14ac:dyDescent="0.3">
      <c r="A89" s="31" t="s">
        <v>193</v>
      </c>
      <c r="B89" s="29">
        <v>45648</v>
      </c>
      <c r="C89" s="28" t="s">
        <v>77</v>
      </c>
      <c r="D89" s="28" t="s">
        <v>74</v>
      </c>
      <c r="E89" s="26" t="s">
        <v>456</v>
      </c>
      <c r="F89" s="28" t="s">
        <v>78</v>
      </c>
      <c r="G89" s="28">
        <v>83952</v>
      </c>
      <c r="H89" s="28">
        <v>54780</v>
      </c>
      <c r="I89" s="28">
        <v>40</v>
      </c>
      <c r="J89" s="28">
        <v>83</v>
      </c>
      <c r="K89" s="28">
        <v>132</v>
      </c>
      <c r="L89" s="28">
        <v>9</v>
      </c>
      <c r="M89" s="28">
        <v>1</v>
      </c>
      <c r="N89" s="28" t="s">
        <v>22</v>
      </c>
      <c r="O89" s="28" t="s">
        <v>446</v>
      </c>
      <c r="P89" s="28" t="s">
        <v>103</v>
      </c>
      <c r="Q89" s="28">
        <v>5</v>
      </c>
      <c r="R89" s="28" t="s">
        <v>31</v>
      </c>
      <c r="S89" s="28">
        <v>0</v>
      </c>
    </row>
    <row r="90" spans="1:19" x14ac:dyDescent="0.3">
      <c r="A90" s="30" t="s">
        <v>194</v>
      </c>
      <c r="B90" s="27">
        <v>45310</v>
      </c>
      <c r="C90" s="26" t="s">
        <v>33</v>
      </c>
      <c r="D90" s="26" t="s">
        <v>34</v>
      </c>
      <c r="E90" s="28" t="s">
        <v>457</v>
      </c>
      <c r="F90" s="26" t="s">
        <v>35</v>
      </c>
      <c r="G90" s="26">
        <v>88704</v>
      </c>
      <c r="H90" s="26">
        <v>47817</v>
      </c>
      <c r="I90" s="26">
        <v>35</v>
      </c>
      <c r="J90" s="26">
        <v>126</v>
      </c>
      <c r="K90" s="26">
        <v>99</v>
      </c>
      <c r="L90" s="26">
        <v>1</v>
      </c>
      <c r="M90" s="26">
        <v>2</v>
      </c>
      <c r="N90" s="26" t="s">
        <v>22</v>
      </c>
      <c r="O90" s="26" t="s">
        <v>70</v>
      </c>
      <c r="P90" s="26" t="s">
        <v>71</v>
      </c>
      <c r="Q90" s="26">
        <v>5</v>
      </c>
      <c r="R90" s="26" t="s">
        <v>31</v>
      </c>
      <c r="S90" s="26">
        <v>1000</v>
      </c>
    </row>
    <row r="91" spans="1:19" x14ac:dyDescent="0.3">
      <c r="A91" s="31" t="s">
        <v>195</v>
      </c>
      <c r="B91" s="29">
        <v>45428</v>
      </c>
      <c r="C91" s="28" t="s">
        <v>54</v>
      </c>
      <c r="D91" s="28" t="s">
        <v>27</v>
      </c>
      <c r="E91" s="26" t="s">
        <v>456</v>
      </c>
      <c r="F91" s="28" t="s">
        <v>55</v>
      </c>
      <c r="G91" s="28">
        <v>21243</v>
      </c>
      <c r="H91" s="28">
        <v>9991</v>
      </c>
      <c r="I91" s="28">
        <v>45</v>
      </c>
      <c r="J91" s="28">
        <v>26</v>
      </c>
      <c r="K91" s="28">
        <v>97</v>
      </c>
      <c r="L91" s="28">
        <v>1</v>
      </c>
      <c r="M91" s="28">
        <v>2</v>
      </c>
      <c r="N91" s="28" t="s">
        <v>22</v>
      </c>
      <c r="O91" s="28" t="s">
        <v>445</v>
      </c>
      <c r="P91" s="28" t="s">
        <v>42</v>
      </c>
      <c r="Q91" s="28">
        <v>7</v>
      </c>
      <c r="R91" s="28" t="s">
        <v>31</v>
      </c>
      <c r="S91" s="28">
        <v>300</v>
      </c>
    </row>
    <row r="92" spans="1:19" x14ac:dyDescent="0.3">
      <c r="A92" s="30" t="s">
        <v>196</v>
      </c>
      <c r="B92" s="27">
        <v>45520</v>
      </c>
      <c r="C92" s="26" t="s">
        <v>87</v>
      </c>
      <c r="D92" s="26" t="s">
        <v>45</v>
      </c>
      <c r="E92" s="28" t="s">
        <v>457</v>
      </c>
      <c r="F92" s="26" t="s">
        <v>88</v>
      </c>
      <c r="G92" s="26">
        <v>4234</v>
      </c>
      <c r="H92" s="26">
        <v>2871</v>
      </c>
      <c r="I92" s="26">
        <v>70</v>
      </c>
      <c r="J92" s="26">
        <v>14</v>
      </c>
      <c r="K92" s="26">
        <v>29</v>
      </c>
      <c r="L92" s="26">
        <v>3</v>
      </c>
      <c r="M92" s="26">
        <v>1</v>
      </c>
      <c r="N92" s="26" t="s">
        <v>22</v>
      </c>
      <c r="O92" s="26" t="s">
        <v>147</v>
      </c>
      <c r="P92" s="26" t="s">
        <v>148</v>
      </c>
      <c r="Q92" s="26">
        <v>7</v>
      </c>
      <c r="R92" s="26" t="s">
        <v>31</v>
      </c>
      <c r="S92" s="26">
        <v>0</v>
      </c>
    </row>
    <row r="93" spans="1:19" x14ac:dyDescent="0.3">
      <c r="A93" s="31" t="s">
        <v>197</v>
      </c>
      <c r="B93" s="29">
        <v>45412</v>
      </c>
      <c r="C93" s="28" t="s">
        <v>67</v>
      </c>
      <c r="D93" s="28" t="s">
        <v>20</v>
      </c>
      <c r="E93" s="26" t="s">
        <v>456</v>
      </c>
      <c r="F93" s="28" t="s">
        <v>68</v>
      </c>
      <c r="G93" s="28">
        <v>180856</v>
      </c>
      <c r="H93" s="28">
        <v>98700</v>
      </c>
      <c r="I93" s="28">
        <v>35</v>
      </c>
      <c r="J93" s="28">
        <v>118</v>
      </c>
      <c r="K93" s="28">
        <v>188</v>
      </c>
      <c r="L93" s="28">
        <v>11</v>
      </c>
      <c r="M93" s="28">
        <v>5</v>
      </c>
      <c r="N93" s="28" t="s">
        <v>36</v>
      </c>
      <c r="O93" s="28" t="s">
        <v>447</v>
      </c>
      <c r="P93" s="28" t="s">
        <v>63</v>
      </c>
      <c r="Q93" s="28">
        <v>5</v>
      </c>
      <c r="R93" s="28" t="s">
        <v>24</v>
      </c>
      <c r="S93" s="28">
        <v>100</v>
      </c>
    </row>
    <row r="94" spans="1:19" x14ac:dyDescent="0.3">
      <c r="A94" s="30" t="s">
        <v>198</v>
      </c>
      <c r="B94" s="27">
        <v>45305</v>
      </c>
      <c r="C94" s="26" t="s">
        <v>19</v>
      </c>
      <c r="D94" s="26" t="s">
        <v>20</v>
      </c>
      <c r="E94" s="28" t="s">
        <v>457</v>
      </c>
      <c r="F94" s="26" t="s">
        <v>21</v>
      </c>
      <c r="G94" s="26">
        <v>21789</v>
      </c>
      <c r="H94" s="26">
        <v>11907</v>
      </c>
      <c r="I94" s="26">
        <v>40</v>
      </c>
      <c r="J94" s="26">
        <v>26</v>
      </c>
      <c r="K94" s="26">
        <v>81</v>
      </c>
      <c r="L94" s="26">
        <v>3</v>
      </c>
      <c r="M94" s="26">
        <v>4</v>
      </c>
      <c r="N94" s="26" t="s">
        <v>22</v>
      </c>
      <c r="O94" s="26" t="s">
        <v>29</v>
      </c>
      <c r="P94" s="26" t="s">
        <v>30</v>
      </c>
      <c r="Q94" s="26">
        <v>4</v>
      </c>
      <c r="R94" s="26" t="s">
        <v>31</v>
      </c>
      <c r="S94" s="26">
        <v>200</v>
      </c>
    </row>
    <row r="95" spans="1:19" x14ac:dyDescent="0.3">
      <c r="A95" s="31" t="s">
        <v>199</v>
      </c>
      <c r="B95" s="29">
        <v>45641</v>
      </c>
      <c r="C95" s="28" t="s">
        <v>121</v>
      </c>
      <c r="D95" s="28" t="s">
        <v>20</v>
      </c>
      <c r="E95" s="26" t="s">
        <v>456</v>
      </c>
      <c r="F95" s="28" t="s">
        <v>109</v>
      </c>
      <c r="G95" s="28">
        <v>27555</v>
      </c>
      <c r="H95" s="28">
        <v>17270</v>
      </c>
      <c r="I95" s="28">
        <v>55</v>
      </c>
      <c r="J95" s="28">
        <v>71</v>
      </c>
      <c r="K95" s="28">
        <v>55</v>
      </c>
      <c r="L95" s="28">
        <v>1</v>
      </c>
      <c r="M95" s="28">
        <v>1</v>
      </c>
      <c r="N95" s="28" t="s">
        <v>22</v>
      </c>
      <c r="O95" s="28" t="s">
        <v>23</v>
      </c>
      <c r="P95" s="28" t="s">
        <v>23</v>
      </c>
      <c r="Q95" s="28">
        <v>4</v>
      </c>
      <c r="R95" s="28" t="s">
        <v>31</v>
      </c>
      <c r="S95" s="28">
        <v>0</v>
      </c>
    </row>
    <row r="96" spans="1:19" x14ac:dyDescent="0.3">
      <c r="A96" s="30" t="s">
        <v>200</v>
      </c>
      <c r="B96" s="27">
        <v>45585</v>
      </c>
      <c r="C96" s="26" t="s">
        <v>201</v>
      </c>
      <c r="D96" s="26" t="s">
        <v>27</v>
      </c>
      <c r="E96" s="28" t="s">
        <v>457</v>
      </c>
      <c r="F96" s="26" t="s">
        <v>202</v>
      </c>
      <c r="G96" s="26">
        <v>17242</v>
      </c>
      <c r="H96" s="26">
        <v>11988</v>
      </c>
      <c r="I96" s="26">
        <v>45</v>
      </c>
      <c r="J96" s="26">
        <v>57</v>
      </c>
      <c r="K96" s="26">
        <v>37</v>
      </c>
      <c r="L96" s="26">
        <v>2</v>
      </c>
      <c r="M96" s="26">
        <v>1</v>
      </c>
      <c r="N96" s="26" t="s">
        <v>41</v>
      </c>
      <c r="O96" s="26" t="s">
        <v>70</v>
      </c>
      <c r="P96" s="26" t="s">
        <v>71</v>
      </c>
      <c r="Q96" s="26">
        <v>7</v>
      </c>
      <c r="R96" s="26" t="s">
        <v>31</v>
      </c>
      <c r="S96" s="26">
        <v>750</v>
      </c>
    </row>
    <row r="97" spans="1:19" x14ac:dyDescent="0.3">
      <c r="A97" s="31" t="s">
        <v>203</v>
      </c>
      <c r="B97" s="29">
        <v>45530</v>
      </c>
      <c r="C97" s="28" t="s">
        <v>73</v>
      </c>
      <c r="D97" s="28" t="s">
        <v>74</v>
      </c>
      <c r="E97" s="26" t="s">
        <v>456</v>
      </c>
      <c r="F97" s="28" t="s">
        <v>75</v>
      </c>
      <c r="G97" s="28">
        <v>48864</v>
      </c>
      <c r="H97" s="28">
        <v>23568</v>
      </c>
      <c r="I97" s="28">
        <v>45</v>
      </c>
      <c r="J97" s="28">
        <v>136</v>
      </c>
      <c r="K97" s="28">
        <v>48</v>
      </c>
      <c r="L97" s="28">
        <v>4</v>
      </c>
      <c r="M97" s="28">
        <v>0</v>
      </c>
      <c r="N97" s="28" t="s">
        <v>36</v>
      </c>
      <c r="O97" s="28" t="s">
        <v>97</v>
      </c>
      <c r="P97" s="28" t="s">
        <v>98</v>
      </c>
      <c r="Q97" s="28">
        <v>4</v>
      </c>
      <c r="R97" s="28" t="s">
        <v>24</v>
      </c>
      <c r="S97" s="28">
        <v>100</v>
      </c>
    </row>
    <row r="98" spans="1:19" x14ac:dyDescent="0.3">
      <c r="A98" s="30" t="s">
        <v>204</v>
      </c>
      <c r="B98" s="27">
        <v>45437</v>
      </c>
      <c r="C98" s="26" t="s">
        <v>54</v>
      </c>
      <c r="D98" s="26" t="s">
        <v>27</v>
      </c>
      <c r="E98" s="28" t="s">
        <v>457</v>
      </c>
      <c r="F98" s="26" t="s">
        <v>55</v>
      </c>
      <c r="G98" s="26">
        <v>16836</v>
      </c>
      <c r="H98" s="26">
        <v>10212</v>
      </c>
      <c r="I98" s="26">
        <v>55</v>
      </c>
      <c r="J98" s="26">
        <v>16</v>
      </c>
      <c r="K98" s="26">
        <v>92</v>
      </c>
      <c r="L98" s="26">
        <v>8</v>
      </c>
      <c r="M98" s="26">
        <v>0</v>
      </c>
      <c r="N98" s="26" t="s">
        <v>41</v>
      </c>
      <c r="O98" s="26" t="s">
        <v>147</v>
      </c>
      <c r="P98" s="26" t="s">
        <v>148</v>
      </c>
      <c r="Q98" s="26">
        <v>8</v>
      </c>
      <c r="R98" s="26" t="s">
        <v>31</v>
      </c>
      <c r="S98" s="26">
        <v>100</v>
      </c>
    </row>
    <row r="99" spans="1:19" x14ac:dyDescent="0.3">
      <c r="A99" s="31" t="s">
        <v>205</v>
      </c>
      <c r="B99" s="29">
        <v>45306</v>
      </c>
      <c r="C99" s="28" t="s">
        <v>206</v>
      </c>
      <c r="D99" s="28" t="s">
        <v>20</v>
      </c>
      <c r="E99" s="26" t="s">
        <v>456</v>
      </c>
      <c r="F99" s="28" t="s">
        <v>207</v>
      </c>
      <c r="G99" s="28">
        <v>27048</v>
      </c>
      <c r="H99" s="28">
        <v>16583</v>
      </c>
      <c r="I99" s="28">
        <v>55</v>
      </c>
      <c r="J99" s="28">
        <v>21</v>
      </c>
      <c r="K99" s="28">
        <v>161</v>
      </c>
      <c r="L99" s="28">
        <v>19</v>
      </c>
      <c r="M99" s="28">
        <v>0</v>
      </c>
      <c r="N99" s="28" t="s">
        <v>22</v>
      </c>
      <c r="O99" s="28" t="s">
        <v>445</v>
      </c>
      <c r="P99" s="28" t="s">
        <v>42</v>
      </c>
      <c r="Q99" s="28">
        <v>4</v>
      </c>
      <c r="R99" s="28" t="s">
        <v>31</v>
      </c>
      <c r="S99" s="28">
        <v>300</v>
      </c>
    </row>
    <row r="100" spans="1:19" x14ac:dyDescent="0.3">
      <c r="A100" s="30" t="s">
        <v>208</v>
      </c>
      <c r="B100" s="27">
        <v>45644</v>
      </c>
      <c r="C100" s="26" t="s">
        <v>67</v>
      </c>
      <c r="D100" s="26" t="s">
        <v>20</v>
      </c>
      <c r="E100" s="28" t="s">
        <v>456</v>
      </c>
      <c r="F100" s="26" t="s">
        <v>68</v>
      </c>
      <c r="G100" s="26">
        <v>19890</v>
      </c>
      <c r="H100" s="26">
        <v>11050</v>
      </c>
      <c r="I100" s="26">
        <v>80</v>
      </c>
      <c r="J100" s="26">
        <v>11</v>
      </c>
      <c r="K100" s="26">
        <v>170</v>
      </c>
      <c r="L100" s="26">
        <v>10</v>
      </c>
      <c r="M100" s="26">
        <v>5</v>
      </c>
      <c r="N100" s="26" t="s">
        <v>22</v>
      </c>
      <c r="O100" s="26" t="s">
        <v>147</v>
      </c>
      <c r="P100" s="26" t="s">
        <v>148</v>
      </c>
      <c r="Q100" s="26">
        <v>5</v>
      </c>
      <c r="R100" s="26" t="s">
        <v>31</v>
      </c>
      <c r="S100" s="26">
        <v>750</v>
      </c>
    </row>
    <row r="101" spans="1:19" x14ac:dyDescent="0.3">
      <c r="A101" s="31" t="s">
        <v>209</v>
      </c>
      <c r="B101" s="29">
        <v>45530</v>
      </c>
      <c r="C101" s="28" t="s">
        <v>60</v>
      </c>
      <c r="D101" s="28" t="s">
        <v>61</v>
      </c>
      <c r="E101" s="26" t="s">
        <v>457</v>
      </c>
      <c r="F101" s="28" t="s">
        <v>62</v>
      </c>
      <c r="G101" s="28">
        <v>20792</v>
      </c>
      <c r="H101" s="28">
        <v>10622</v>
      </c>
      <c r="I101" s="28">
        <v>40</v>
      </c>
      <c r="J101" s="28">
        <v>15</v>
      </c>
      <c r="K101" s="28">
        <v>113</v>
      </c>
      <c r="L101" s="28">
        <v>6</v>
      </c>
      <c r="M101" s="28">
        <v>1</v>
      </c>
      <c r="N101" s="28" t="s">
        <v>41</v>
      </c>
      <c r="O101" s="28" t="s">
        <v>51</v>
      </c>
      <c r="P101" s="28" t="s">
        <v>52</v>
      </c>
      <c r="Q101" s="28">
        <v>8</v>
      </c>
      <c r="R101" s="28" t="s">
        <v>31</v>
      </c>
      <c r="S101" s="28">
        <v>500</v>
      </c>
    </row>
    <row r="102" spans="1:19" x14ac:dyDescent="0.3">
      <c r="A102" s="30" t="s">
        <v>210</v>
      </c>
      <c r="B102" s="27">
        <v>45531</v>
      </c>
      <c r="C102" s="26" t="s">
        <v>57</v>
      </c>
      <c r="D102" s="26" t="s">
        <v>27</v>
      </c>
      <c r="E102" s="28" t="s">
        <v>457</v>
      </c>
      <c r="F102" s="26" t="s">
        <v>58</v>
      </c>
      <c r="G102" s="26">
        <v>99648</v>
      </c>
      <c r="H102" s="26">
        <v>57168</v>
      </c>
      <c r="I102" s="26">
        <v>40</v>
      </c>
      <c r="J102" s="26">
        <v>101</v>
      </c>
      <c r="K102" s="26">
        <v>144</v>
      </c>
      <c r="L102" s="26">
        <v>7</v>
      </c>
      <c r="M102" s="26">
        <v>3</v>
      </c>
      <c r="N102" s="26" t="s">
        <v>22</v>
      </c>
      <c r="O102" s="26" t="s">
        <v>444</v>
      </c>
      <c r="P102" s="26" t="s">
        <v>37</v>
      </c>
      <c r="Q102" s="26">
        <v>5</v>
      </c>
      <c r="R102" s="26" t="s">
        <v>31</v>
      </c>
      <c r="S102" s="26">
        <v>0</v>
      </c>
    </row>
    <row r="103" spans="1:19" x14ac:dyDescent="0.3">
      <c r="A103" s="31" t="s">
        <v>211</v>
      </c>
      <c r="B103" s="29">
        <v>45296</v>
      </c>
      <c r="C103" s="28" t="s">
        <v>26</v>
      </c>
      <c r="D103" s="28" t="s">
        <v>27</v>
      </c>
      <c r="E103" s="26" t="s">
        <v>456</v>
      </c>
      <c r="F103" s="28" t="s">
        <v>28</v>
      </c>
      <c r="G103" s="28">
        <v>21276</v>
      </c>
      <c r="H103" s="28">
        <v>14256</v>
      </c>
      <c r="I103" s="28">
        <v>60</v>
      </c>
      <c r="J103" s="28">
        <v>26</v>
      </c>
      <c r="K103" s="28">
        <v>108</v>
      </c>
      <c r="L103" s="28">
        <v>6</v>
      </c>
      <c r="M103" s="28">
        <v>0</v>
      </c>
      <c r="N103" s="28" t="s">
        <v>22</v>
      </c>
      <c r="O103" s="28" t="s">
        <v>447</v>
      </c>
      <c r="P103" s="28" t="s">
        <v>63</v>
      </c>
      <c r="Q103" s="28">
        <v>5</v>
      </c>
      <c r="R103" s="28" t="s">
        <v>31</v>
      </c>
      <c r="S103" s="28">
        <v>500</v>
      </c>
    </row>
    <row r="104" spans="1:19" x14ac:dyDescent="0.3">
      <c r="A104" s="30" t="s">
        <v>212</v>
      </c>
      <c r="B104" s="27">
        <v>45435</v>
      </c>
      <c r="C104" s="26" t="s">
        <v>201</v>
      </c>
      <c r="D104" s="26" t="s">
        <v>27</v>
      </c>
      <c r="E104" s="28" t="s">
        <v>457</v>
      </c>
      <c r="F104" s="26" t="s">
        <v>202</v>
      </c>
      <c r="G104" s="26">
        <v>94435</v>
      </c>
      <c r="H104" s="26">
        <v>45349</v>
      </c>
      <c r="I104" s="26">
        <v>40</v>
      </c>
      <c r="J104" s="26">
        <v>101</v>
      </c>
      <c r="K104" s="26">
        <v>101</v>
      </c>
      <c r="L104" s="26">
        <v>5</v>
      </c>
      <c r="M104" s="26">
        <v>1</v>
      </c>
      <c r="N104" s="26" t="s">
        <v>41</v>
      </c>
      <c r="O104" s="26" t="s">
        <v>444</v>
      </c>
      <c r="P104" s="26" t="s">
        <v>37</v>
      </c>
      <c r="Q104" s="26">
        <v>3</v>
      </c>
      <c r="R104" s="26" t="s">
        <v>31</v>
      </c>
      <c r="S104" s="26">
        <v>0</v>
      </c>
    </row>
    <row r="105" spans="1:19" x14ac:dyDescent="0.3">
      <c r="A105" s="31" t="s">
        <v>213</v>
      </c>
      <c r="B105" s="29">
        <v>45525</v>
      </c>
      <c r="C105" s="28" t="s">
        <v>54</v>
      </c>
      <c r="D105" s="28" t="s">
        <v>27</v>
      </c>
      <c r="E105" s="26" t="s">
        <v>456</v>
      </c>
      <c r="F105" s="28" t="s">
        <v>55</v>
      </c>
      <c r="G105" s="28">
        <v>26880</v>
      </c>
      <c r="H105" s="28">
        <v>15552</v>
      </c>
      <c r="I105" s="28">
        <v>60</v>
      </c>
      <c r="J105" s="28">
        <v>41</v>
      </c>
      <c r="K105" s="28">
        <v>96</v>
      </c>
      <c r="L105" s="28">
        <v>6</v>
      </c>
      <c r="M105" s="28">
        <v>4</v>
      </c>
      <c r="N105" s="28" t="s">
        <v>22</v>
      </c>
      <c r="O105" s="28" t="s">
        <v>447</v>
      </c>
      <c r="P105" s="28" t="s">
        <v>63</v>
      </c>
      <c r="Q105" s="28">
        <v>7</v>
      </c>
      <c r="R105" s="28" t="s">
        <v>31</v>
      </c>
      <c r="S105" s="28">
        <v>500</v>
      </c>
    </row>
    <row r="106" spans="1:19" x14ac:dyDescent="0.3">
      <c r="A106" s="30" t="s">
        <v>214</v>
      </c>
      <c r="B106" s="27">
        <v>45300</v>
      </c>
      <c r="C106" s="26" t="s">
        <v>124</v>
      </c>
      <c r="D106" s="26" t="s">
        <v>74</v>
      </c>
      <c r="E106" s="26" t="s">
        <v>456</v>
      </c>
      <c r="F106" s="26" t="s">
        <v>125</v>
      </c>
      <c r="G106" s="26">
        <v>88400</v>
      </c>
      <c r="H106" s="26">
        <v>42200</v>
      </c>
      <c r="I106" s="26">
        <v>70</v>
      </c>
      <c r="J106" s="26">
        <v>53</v>
      </c>
      <c r="K106" s="26">
        <v>200</v>
      </c>
      <c r="L106" s="26">
        <v>0</v>
      </c>
      <c r="M106" s="26">
        <v>9</v>
      </c>
      <c r="N106" s="26" t="s">
        <v>41</v>
      </c>
      <c r="O106" s="26" t="s">
        <v>444</v>
      </c>
      <c r="P106" s="26" t="s">
        <v>37</v>
      </c>
      <c r="Q106" s="26">
        <v>7</v>
      </c>
      <c r="R106" s="26" t="s">
        <v>31</v>
      </c>
      <c r="S106" s="26">
        <v>200</v>
      </c>
    </row>
    <row r="107" spans="1:19" x14ac:dyDescent="0.3">
      <c r="A107" s="31" t="s">
        <v>215</v>
      </c>
      <c r="B107" s="29">
        <v>45640</v>
      </c>
      <c r="C107" s="28" t="s">
        <v>131</v>
      </c>
      <c r="D107" s="28" t="s">
        <v>114</v>
      </c>
      <c r="E107" s="28" t="s">
        <v>457</v>
      </c>
      <c r="F107" s="28" t="s">
        <v>132</v>
      </c>
      <c r="G107" s="28">
        <v>35306</v>
      </c>
      <c r="H107" s="28">
        <v>24257</v>
      </c>
      <c r="I107" s="28">
        <v>40</v>
      </c>
      <c r="J107" s="28">
        <v>26</v>
      </c>
      <c r="K107" s="28">
        <v>127</v>
      </c>
      <c r="L107" s="28">
        <v>13</v>
      </c>
      <c r="M107" s="28">
        <v>1</v>
      </c>
      <c r="N107" s="28" t="s">
        <v>41</v>
      </c>
      <c r="O107" s="28" t="s">
        <v>447</v>
      </c>
      <c r="P107" s="28" t="s">
        <v>63</v>
      </c>
      <c r="Q107" s="28">
        <v>7</v>
      </c>
      <c r="R107" s="28" t="s">
        <v>31</v>
      </c>
      <c r="S107" s="28">
        <v>750</v>
      </c>
    </row>
    <row r="108" spans="1:19" x14ac:dyDescent="0.3">
      <c r="A108" s="30" t="s">
        <v>216</v>
      </c>
      <c r="B108" s="27">
        <v>45398</v>
      </c>
      <c r="C108" s="26" t="s">
        <v>54</v>
      </c>
      <c r="D108" s="26" t="s">
        <v>27</v>
      </c>
      <c r="E108" s="26" t="s">
        <v>456</v>
      </c>
      <c r="F108" s="26" t="s">
        <v>55</v>
      </c>
      <c r="G108" s="26">
        <v>37229</v>
      </c>
      <c r="H108" s="26">
        <v>22892</v>
      </c>
      <c r="I108" s="26">
        <v>70</v>
      </c>
      <c r="J108" s="26">
        <v>64</v>
      </c>
      <c r="K108" s="26">
        <v>59</v>
      </c>
      <c r="L108" s="26">
        <v>5</v>
      </c>
      <c r="M108" s="26">
        <v>2</v>
      </c>
      <c r="N108" s="26" t="s">
        <v>22</v>
      </c>
      <c r="O108" s="26" t="s">
        <v>23</v>
      </c>
      <c r="P108" s="26" t="s">
        <v>23</v>
      </c>
      <c r="Q108" s="26">
        <v>4</v>
      </c>
      <c r="R108" s="26" t="s">
        <v>31</v>
      </c>
      <c r="S108" s="26">
        <v>1000</v>
      </c>
    </row>
    <row r="109" spans="1:19" x14ac:dyDescent="0.3">
      <c r="A109" s="31" t="s">
        <v>217</v>
      </c>
      <c r="B109" s="29">
        <v>45439</v>
      </c>
      <c r="C109" s="28" t="s">
        <v>65</v>
      </c>
      <c r="D109" s="28" t="s">
        <v>34</v>
      </c>
      <c r="E109" s="28" t="s">
        <v>457</v>
      </c>
      <c r="F109" s="28" t="s">
        <v>35</v>
      </c>
      <c r="G109" s="28">
        <v>71839</v>
      </c>
      <c r="H109" s="28">
        <v>41193</v>
      </c>
      <c r="I109" s="28">
        <v>80</v>
      </c>
      <c r="J109" s="28">
        <v>38</v>
      </c>
      <c r="K109" s="28">
        <v>199</v>
      </c>
      <c r="L109" s="28">
        <v>9</v>
      </c>
      <c r="M109" s="28">
        <v>1</v>
      </c>
      <c r="N109" s="28" t="s">
        <v>22</v>
      </c>
      <c r="O109" s="28" t="s">
        <v>446</v>
      </c>
      <c r="P109" s="28" t="s">
        <v>103</v>
      </c>
      <c r="Q109" s="28">
        <v>4</v>
      </c>
      <c r="R109" s="28" t="s">
        <v>31</v>
      </c>
      <c r="S109" s="28">
        <v>750</v>
      </c>
    </row>
    <row r="110" spans="1:19" x14ac:dyDescent="0.3">
      <c r="A110" s="30" t="s">
        <v>218</v>
      </c>
      <c r="B110" s="27">
        <v>45518</v>
      </c>
      <c r="C110" s="26" t="s">
        <v>87</v>
      </c>
      <c r="D110" s="26" t="s">
        <v>45</v>
      </c>
      <c r="E110" s="26" t="s">
        <v>456</v>
      </c>
      <c r="F110" s="26" t="s">
        <v>88</v>
      </c>
      <c r="G110" s="26">
        <v>77364</v>
      </c>
      <c r="H110" s="26">
        <v>44100</v>
      </c>
      <c r="I110" s="26">
        <v>50</v>
      </c>
      <c r="J110" s="26">
        <v>127</v>
      </c>
      <c r="K110" s="26">
        <v>84</v>
      </c>
      <c r="L110" s="26">
        <v>4</v>
      </c>
      <c r="M110" s="26">
        <v>1</v>
      </c>
      <c r="N110" s="26" t="s">
        <v>41</v>
      </c>
      <c r="O110" s="26" t="s">
        <v>444</v>
      </c>
      <c r="P110" s="26" t="s">
        <v>37</v>
      </c>
      <c r="Q110" s="26">
        <v>8</v>
      </c>
      <c r="R110" s="26" t="s">
        <v>31</v>
      </c>
      <c r="S110" s="26">
        <v>200</v>
      </c>
    </row>
    <row r="111" spans="1:19" x14ac:dyDescent="0.3">
      <c r="A111" s="31" t="s">
        <v>219</v>
      </c>
      <c r="B111" s="29">
        <v>45503</v>
      </c>
      <c r="C111" s="28" t="s">
        <v>39</v>
      </c>
      <c r="D111" s="28" t="s">
        <v>20</v>
      </c>
      <c r="E111" s="28" t="s">
        <v>457</v>
      </c>
      <c r="F111" s="28" t="s">
        <v>40</v>
      </c>
      <c r="G111" s="28">
        <v>79050</v>
      </c>
      <c r="H111" s="28">
        <v>37510</v>
      </c>
      <c r="I111" s="28">
        <v>45</v>
      </c>
      <c r="J111" s="28">
        <v>41</v>
      </c>
      <c r="K111" s="28">
        <v>155</v>
      </c>
      <c r="L111" s="28">
        <v>13</v>
      </c>
      <c r="M111" s="28">
        <v>7</v>
      </c>
      <c r="N111" s="28" t="s">
        <v>22</v>
      </c>
      <c r="O111" s="28" t="s">
        <v>446</v>
      </c>
      <c r="P111" s="28" t="s">
        <v>103</v>
      </c>
      <c r="Q111" s="28">
        <v>5</v>
      </c>
      <c r="R111" s="28" t="s">
        <v>31</v>
      </c>
      <c r="S111" s="28">
        <v>300</v>
      </c>
    </row>
    <row r="112" spans="1:19" x14ac:dyDescent="0.3">
      <c r="A112" s="30" t="s">
        <v>220</v>
      </c>
      <c r="B112" s="27">
        <v>45311</v>
      </c>
      <c r="C112" s="26" t="s">
        <v>26</v>
      </c>
      <c r="D112" s="26" t="s">
        <v>27</v>
      </c>
      <c r="E112" s="26" t="s">
        <v>456</v>
      </c>
      <c r="F112" s="26" t="s">
        <v>28</v>
      </c>
      <c r="G112" s="26">
        <v>30276</v>
      </c>
      <c r="H112" s="26">
        <v>19952</v>
      </c>
      <c r="I112" s="26">
        <v>35</v>
      </c>
      <c r="J112" s="26">
        <v>39</v>
      </c>
      <c r="K112" s="26">
        <v>116</v>
      </c>
      <c r="L112" s="26">
        <v>2</v>
      </c>
      <c r="M112" s="26">
        <v>5</v>
      </c>
      <c r="N112" s="26" t="s">
        <v>22</v>
      </c>
      <c r="O112" s="26" t="s">
        <v>444</v>
      </c>
      <c r="P112" s="26" t="s">
        <v>37</v>
      </c>
      <c r="Q112" s="26">
        <v>5</v>
      </c>
      <c r="R112" s="26" t="s">
        <v>31</v>
      </c>
      <c r="S112" s="26">
        <v>0</v>
      </c>
    </row>
    <row r="113" spans="1:19" x14ac:dyDescent="0.3">
      <c r="A113" s="31" t="s">
        <v>221</v>
      </c>
      <c r="B113" s="29">
        <v>45524</v>
      </c>
      <c r="C113" s="28" t="s">
        <v>135</v>
      </c>
      <c r="D113" s="28" t="s">
        <v>34</v>
      </c>
      <c r="E113" s="28" t="s">
        <v>457</v>
      </c>
      <c r="F113" s="28" t="s">
        <v>136</v>
      </c>
      <c r="G113" s="28">
        <v>137752</v>
      </c>
      <c r="H113" s="28">
        <v>79060</v>
      </c>
      <c r="I113" s="28">
        <v>45</v>
      </c>
      <c r="J113" s="28">
        <v>143</v>
      </c>
      <c r="K113" s="28">
        <v>134</v>
      </c>
      <c r="L113" s="28">
        <v>6</v>
      </c>
      <c r="M113" s="28">
        <v>6</v>
      </c>
      <c r="N113" s="28" t="s">
        <v>41</v>
      </c>
      <c r="O113" s="28" t="s">
        <v>445</v>
      </c>
      <c r="P113" s="28" t="s">
        <v>42</v>
      </c>
      <c r="Q113" s="28">
        <v>8</v>
      </c>
      <c r="R113" s="28" t="s">
        <v>31</v>
      </c>
      <c r="S113" s="28">
        <v>100</v>
      </c>
    </row>
    <row r="114" spans="1:19" x14ac:dyDescent="0.3">
      <c r="A114" s="30" t="s">
        <v>222</v>
      </c>
      <c r="B114" s="27">
        <v>45443</v>
      </c>
      <c r="C114" s="26" t="s">
        <v>223</v>
      </c>
      <c r="D114" s="26" t="s">
        <v>45</v>
      </c>
      <c r="E114" s="26" t="s">
        <v>456</v>
      </c>
      <c r="F114" s="26" t="s">
        <v>224</v>
      </c>
      <c r="G114" s="26">
        <v>136218</v>
      </c>
      <c r="H114" s="26">
        <v>67890</v>
      </c>
      <c r="I114" s="26">
        <v>70</v>
      </c>
      <c r="J114" s="26">
        <v>129</v>
      </c>
      <c r="K114" s="26">
        <v>146</v>
      </c>
      <c r="L114" s="26">
        <v>2</v>
      </c>
      <c r="M114" s="26">
        <v>6</v>
      </c>
      <c r="N114" s="26" t="s">
        <v>41</v>
      </c>
      <c r="O114" s="26" t="s">
        <v>147</v>
      </c>
      <c r="P114" s="26" t="s">
        <v>148</v>
      </c>
      <c r="Q114" s="26">
        <v>6</v>
      </c>
      <c r="R114" s="26" t="s">
        <v>24</v>
      </c>
      <c r="S114" s="26">
        <v>100</v>
      </c>
    </row>
    <row r="115" spans="1:19" x14ac:dyDescent="0.3">
      <c r="A115" s="31" t="s">
        <v>225</v>
      </c>
      <c r="B115" s="29">
        <v>45412</v>
      </c>
      <c r="C115" s="28" t="s">
        <v>105</v>
      </c>
      <c r="D115" s="28" t="s">
        <v>49</v>
      </c>
      <c r="E115" s="28" t="s">
        <v>457</v>
      </c>
      <c r="F115" s="28" t="s">
        <v>106</v>
      </c>
      <c r="G115" s="28">
        <v>106904</v>
      </c>
      <c r="H115" s="28">
        <v>73577</v>
      </c>
      <c r="I115" s="28">
        <v>55</v>
      </c>
      <c r="J115" s="28">
        <v>80</v>
      </c>
      <c r="K115" s="28">
        <v>161</v>
      </c>
      <c r="L115" s="28">
        <v>8</v>
      </c>
      <c r="M115" s="28">
        <v>5</v>
      </c>
      <c r="N115" s="28" t="s">
        <v>41</v>
      </c>
      <c r="O115" s="28" t="s">
        <v>29</v>
      </c>
      <c r="P115" s="28" t="s">
        <v>30</v>
      </c>
      <c r="Q115" s="28">
        <v>6</v>
      </c>
      <c r="R115" s="28" t="s">
        <v>31</v>
      </c>
      <c r="S115" s="28">
        <v>0</v>
      </c>
    </row>
    <row r="116" spans="1:19" x14ac:dyDescent="0.3">
      <c r="A116" s="30" t="s">
        <v>226</v>
      </c>
      <c r="B116" s="27">
        <v>45619</v>
      </c>
      <c r="C116" s="26" t="s">
        <v>19</v>
      </c>
      <c r="D116" s="26" t="s">
        <v>20</v>
      </c>
      <c r="E116" s="26" t="s">
        <v>456</v>
      </c>
      <c r="F116" s="26" t="s">
        <v>21</v>
      </c>
      <c r="G116" s="26">
        <v>50304</v>
      </c>
      <c r="H116" s="26">
        <v>25414</v>
      </c>
      <c r="I116" s="26">
        <v>45</v>
      </c>
      <c r="J116" s="26">
        <v>44</v>
      </c>
      <c r="K116" s="26">
        <v>131</v>
      </c>
      <c r="L116" s="26">
        <v>11</v>
      </c>
      <c r="M116" s="26">
        <v>3</v>
      </c>
      <c r="N116" s="26" t="s">
        <v>22</v>
      </c>
      <c r="O116" s="26" t="s">
        <v>23</v>
      </c>
      <c r="P116" s="26" t="s">
        <v>23</v>
      </c>
      <c r="Q116" s="26">
        <v>8</v>
      </c>
      <c r="R116" s="26" t="s">
        <v>31</v>
      </c>
      <c r="S116" s="26">
        <v>200</v>
      </c>
    </row>
    <row r="117" spans="1:19" x14ac:dyDescent="0.3">
      <c r="A117" s="31" t="s">
        <v>227</v>
      </c>
      <c r="B117" s="29">
        <v>45652</v>
      </c>
      <c r="C117" s="28" t="s">
        <v>54</v>
      </c>
      <c r="D117" s="28" t="s">
        <v>27</v>
      </c>
      <c r="E117" s="28" t="s">
        <v>456</v>
      </c>
      <c r="F117" s="28" t="s">
        <v>55</v>
      </c>
      <c r="G117" s="28">
        <v>57312</v>
      </c>
      <c r="H117" s="28">
        <v>33840</v>
      </c>
      <c r="I117" s="28">
        <v>35</v>
      </c>
      <c r="J117" s="28">
        <v>55</v>
      </c>
      <c r="K117" s="28">
        <v>144</v>
      </c>
      <c r="L117" s="28">
        <v>17</v>
      </c>
      <c r="M117" s="28">
        <v>2</v>
      </c>
      <c r="N117" s="28" t="s">
        <v>41</v>
      </c>
      <c r="O117" s="28" t="s">
        <v>29</v>
      </c>
      <c r="P117" s="28" t="s">
        <v>30</v>
      </c>
      <c r="Q117" s="28">
        <v>8</v>
      </c>
      <c r="R117" s="28" t="s">
        <v>31</v>
      </c>
      <c r="S117" s="28">
        <v>1000</v>
      </c>
    </row>
    <row r="118" spans="1:19" x14ac:dyDescent="0.3">
      <c r="A118" s="30" t="s">
        <v>228</v>
      </c>
      <c r="B118" s="27">
        <v>45553</v>
      </c>
      <c r="C118" s="26" t="s">
        <v>121</v>
      </c>
      <c r="D118" s="26" t="s">
        <v>20</v>
      </c>
      <c r="E118" s="26" t="s">
        <v>456</v>
      </c>
      <c r="F118" s="26" t="s">
        <v>109</v>
      </c>
      <c r="G118" s="26">
        <v>19604</v>
      </c>
      <c r="H118" s="26">
        <v>11049</v>
      </c>
      <c r="I118" s="26">
        <v>70</v>
      </c>
      <c r="J118" s="26">
        <v>76</v>
      </c>
      <c r="K118" s="26">
        <v>29</v>
      </c>
      <c r="L118" s="26">
        <v>3</v>
      </c>
      <c r="M118" s="26">
        <v>1</v>
      </c>
      <c r="N118" s="26" t="s">
        <v>41</v>
      </c>
      <c r="O118" s="26" t="s">
        <v>97</v>
      </c>
      <c r="P118" s="26" t="s">
        <v>98</v>
      </c>
      <c r="Q118" s="26">
        <v>3</v>
      </c>
      <c r="R118" s="26" t="s">
        <v>24</v>
      </c>
      <c r="S118" s="26">
        <v>750</v>
      </c>
    </row>
    <row r="119" spans="1:19" x14ac:dyDescent="0.3">
      <c r="A119" s="31" t="s">
        <v>229</v>
      </c>
      <c r="B119" s="29">
        <v>45508</v>
      </c>
      <c r="C119" s="28" t="s">
        <v>206</v>
      </c>
      <c r="D119" s="28" t="s">
        <v>20</v>
      </c>
      <c r="E119" s="28" t="s">
        <v>457</v>
      </c>
      <c r="F119" s="28" t="s">
        <v>207</v>
      </c>
      <c r="G119" s="28">
        <v>16224</v>
      </c>
      <c r="H119" s="28">
        <v>9504</v>
      </c>
      <c r="I119" s="28">
        <v>35</v>
      </c>
      <c r="J119" s="28">
        <v>74</v>
      </c>
      <c r="K119" s="28">
        <v>32</v>
      </c>
      <c r="L119" s="28">
        <v>0</v>
      </c>
      <c r="M119" s="28">
        <v>1</v>
      </c>
      <c r="N119" s="28" t="s">
        <v>22</v>
      </c>
      <c r="O119" s="28" t="s">
        <v>70</v>
      </c>
      <c r="P119" s="28" t="s">
        <v>71</v>
      </c>
      <c r="Q119" s="28">
        <v>5</v>
      </c>
      <c r="R119" s="28" t="s">
        <v>31</v>
      </c>
      <c r="S119" s="28">
        <v>100</v>
      </c>
    </row>
    <row r="120" spans="1:19" x14ac:dyDescent="0.3">
      <c r="A120" s="30" t="s">
        <v>230</v>
      </c>
      <c r="B120" s="27">
        <v>45641</v>
      </c>
      <c r="C120" s="26" t="s">
        <v>121</v>
      </c>
      <c r="D120" s="26" t="s">
        <v>20</v>
      </c>
      <c r="E120" s="26" t="s">
        <v>456</v>
      </c>
      <c r="F120" s="26" t="s">
        <v>109</v>
      </c>
      <c r="G120" s="26">
        <v>175104</v>
      </c>
      <c r="H120" s="26">
        <v>84664</v>
      </c>
      <c r="I120" s="26">
        <v>60</v>
      </c>
      <c r="J120" s="26">
        <v>102</v>
      </c>
      <c r="K120" s="26">
        <v>152</v>
      </c>
      <c r="L120" s="26">
        <v>16</v>
      </c>
      <c r="M120" s="26">
        <v>2</v>
      </c>
      <c r="N120" s="26" t="s">
        <v>41</v>
      </c>
      <c r="O120" s="26" t="s">
        <v>444</v>
      </c>
      <c r="P120" s="26" t="s">
        <v>37</v>
      </c>
      <c r="Q120" s="26">
        <v>5</v>
      </c>
      <c r="R120" s="26" t="s">
        <v>31</v>
      </c>
      <c r="S120" s="26">
        <v>0</v>
      </c>
    </row>
    <row r="121" spans="1:19" x14ac:dyDescent="0.3">
      <c r="A121" s="31" t="s">
        <v>231</v>
      </c>
      <c r="B121" s="29">
        <v>45486</v>
      </c>
      <c r="C121" s="28" t="s">
        <v>26</v>
      </c>
      <c r="D121" s="28" t="s">
        <v>27</v>
      </c>
      <c r="E121" s="28" t="s">
        <v>457</v>
      </c>
      <c r="F121" s="28" t="s">
        <v>28</v>
      </c>
      <c r="G121" s="28">
        <v>61000</v>
      </c>
      <c r="H121" s="28">
        <v>32800</v>
      </c>
      <c r="I121" s="28">
        <v>55</v>
      </c>
      <c r="J121" s="28">
        <v>28</v>
      </c>
      <c r="K121" s="28">
        <v>200</v>
      </c>
      <c r="L121" s="28">
        <v>1</v>
      </c>
      <c r="M121" s="28">
        <v>10</v>
      </c>
      <c r="N121" s="28" t="s">
        <v>22</v>
      </c>
      <c r="O121" s="28" t="s">
        <v>23</v>
      </c>
      <c r="P121" s="28" t="s">
        <v>23</v>
      </c>
      <c r="Q121" s="28">
        <v>3</v>
      </c>
      <c r="R121" s="28" t="s">
        <v>24</v>
      </c>
      <c r="S121" s="28">
        <v>200</v>
      </c>
    </row>
    <row r="122" spans="1:19" x14ac:dyDescent="0.3">
      <c r="A122" s="30" t="s">
        <v>232</v>
      </c>
      <c r="B122" s="27">
        <v>45417</v>
      </c>
      <c r="C122" s="26" t="s">
        <v>80</v>
      </c>
      <c r="D122" s="26" t="s">
        <v>20</v>
      </c>
      <c r="E122" s="26" t="s">
        <v>456</v>
      </c>
      <c r="F122" s="26" t="s">
        <v>81</v>
      </c>
      <c r="G122" s="26">
        <v>3741</v>
      </c>
      <c r="H122" s="26">
        <v>1914</v>
      </c>
      <c r="I122" s="26">
        <v>50</v>
      </c>
      <c r="J122" s="26">
        <v>17</v>
      </c>
      <c r="K122" s="26">
        <v>29</v>
      </c>
      <c r="L122" s="26">
        <v>2</v>
      </c>
      <c r="M122" s="26">
        <v>0</v>
      </c>
      <c r="N122" s="26" t="s">
        <v>41</v>
      </c>
      <c r="O122" s="26" t="s">
        <v>23</v>
      </c>
      <c r="P122" s="26" t="s">
        <v>23</v>
      </c>
      <c r="Q122" s="26">
        <v>5</v>
      </c>
      <c r="R122" s="26" t="s">
        <v>31</v>
      </c>
      <c r="S122" s="26">
        <v>500</v>
      </c>
    </row>
    <row r="123" spans="1:19" x14ac:dyDescent="0.3">
      <c r="A123" s="31" t="s">
        <v>233</v>
      </c>
      <c r="B123" s="29">
        <v>45445</v>
      </c>
      <c r="C123" s="28" t="s">
        <v>95</v>
      </c>
      <c r="D123" s="28" t="s">
        <v>49</v>
      </c>
      <c r="E123" s="28" t="s">
        <v>457</v>
      </c>
      <c r="F123" s="28" t="s">
        <v>96</v>
      </c>
      <c r="G123" s="28">
        <v>42036</v>
      </c>
      <c r="H123" s="28">
        <v>28892</v>
      </c>
      <c r="I123" s="28">
        <v>45</v>
      </c>
      <c r="J123" s="28">
        <v>42</v>
      </c>
      <c r="K123" s="28">
        <v>124</v>
      </c>
      <c r="L123" s="28">
        <v>7</v>
      </c>
      <c r="M123" s="28">
        <v>0</v>
      </c>
      <c r="N123" s="28" t="s">
        <v>36</v>
      </c>
      <c r="O123" s="28" t="s">
        <v>70</v>
      </c>
      <c r="P123" s="28" t="s">
        <v>71</v>
      </c>
      <c r="Q123" s="28">
        <v>6</v>
      </c>
      <c r="R123" s="28" t="s">
        <v>31</v>
      </c>
      <c r="S123" s="28">
        <v>500</v>
      </c>
    </row>
    <row r="124" spans="1:19" x14ac:dyDescent="0.3">
      <c r="A124" s="30" t="s">
        <v>234</v>
      </c>
      <c r="B124" s="27">
        <v>45534</v>
      </c>
      <c r="C124" s="26" t="s">
        <v>26</v>
      </c>
      <c r="D124" s="26" t="s">
        <v>27</v>
      </c>
      <c r="E124" s="26" t="s">
        <v>456</v>
      </c>
      <c r="F124" s="26" t="s">
        <v>28</v>
      </c>
      <c r="G124" s="26">
        <v>11020</v>
      </c>
      <c r="H124" s="26">
        <v>5800</v>
      </c>
      <c r="I124" s="26">
        <v>45</v>
      </c>
      <c r="J124" s="26">
        <v>52</v>
      </c>
      <c r="K124" s="26">
        <v>29</v>
      </c>
      <c r="L124" s="26">
        <v>3</v>
      </c>
      <c r="M124" s="26">
        <v>1</v>
      </c>
      <c r="N124" s="26" t="s">
        <v>36</v>
      </c>
      <c r="O124" s="26" t="s">
        <v>23</v>
      </c>
      <c r="P124" s="26" t="s">
        <v>23</v>
      </c>
      <c r="Q124" s="26">
        <v>5</v>
      </c>
      <c r="R124" s="26" t="s">
        <v>31</v>
      </c>
      <c r="S124" s="26">
        <v>750</v>
      </c>
    </row>
    <row r="125" spans="1:19" x14ac:dyDescent="0.3">
      <c r="A125" s="31" t="s">
        <v>235</v>
      </c>
      <c r="B125" s="29">
        <v>45339</v>
      </c>
      <c r="C125" s="28" t="s">
        <v>159</v>
      </c>
      <c r="D125" s="28" t="s">
        <v>45</v>
      </c>
      <c r="E125" s="28" t="s">
        <v>457</v>
      </c>
      <c r="F125" s="28" t="s">
        <v>160</v>
      </c>
      <c r="G125" s="28">
        <v>123370</v>
      </c>
      <c r="H125" s="28">
        <v>61347</v>
      </c>
      <c r="I125" s="28">
        <v>55</v>
      </c>
      <c r="J125" s="28">
        <v>78</v>
      </c>
      <c r="K125" s="28">
        <v>169</v>
      </c>
      <c r="L125" s="28">
        <v>1</v>
      </c>
      <c r="M125" s="28">
        <v>1</v>
      </c>
      <c r="N125" s="28" t="s">
        <v>22</v>
      </c>
      <c r="O125" s="28" t="s">
        <v>23</v>
      </c>
      <c r="P125" s="28" t="s">
        <v>23</v>
      </c>
      <c r="Q125" s="28">
        <v>5</v>
      </c>
      <c r="R125" s="28" t="s">
        <v>31</v>
      </c>
      <c r="S125" s="28">
        <v>1000</v>
      </c>
    </row>
    <row r="126" spans="1:19" x14ac:dyDescent="0.3">
      <c r="A126" s="30" t="s">
        <v>236</v>
      </c>
      <c r="B126" s="27">
        <v>45537</v>
      </c>
      <c r="C126" s="26" t="s">
        <v>19</v>
      </c>
      <c r="D126" s="26" t="s">
        <v>20</v>
      </c>
      <c r="E126" s="26" t="s">
        <v>456</v>
      </c>
      <c r="F126" s="26" t="s">
        <v>21</v>
      </c>
      <c r="G126" s="26">
        <v>56316</v>
      </c>
      <c r="H126" s="26">
        <v>35256</v>
      </c>
      <c r="I126" s="26">
        <v>70</v>
      </c>
      <c r="J126" s="26">
        <v>52</v>
      </c>
      <c r="K126" s="26">
        <v>156</v>
      </c>
      <c r="L126" s="26">
        <v>9</v>
      </c>
      <c r="M126" s="26">
        <v>6</v>
      </c>
      <c r="N126" s="26" t="s">
        <v>22</v>
      </c>
      <c r="O126" s="26" t="s">
        <v>97</v>
      </c>
      <c r="P126" s="26" t="s">
        <v>98</v>
      </c>
      <c r="Q126" s="26">
        <v>5</v>
      </c>
      <c r="R126" s="26" t="s">
        <v>31</v>
      </c>
      <c r="S126" s="26">
        <v>300</v>
      </c>
    </row>
    <row r="127" spans="1:19" x14ac:dyDescent="0.3">
      <c r="A127" s="31" t="s">
        <v>237</v>
      </c>
      <c r="B127" s="29">
        <v>45455</v>
      </c>
      <c r="C127" s="28" t="s">
        <v>124</v>
      </c>
      <c r="D127" s="28" t="s">
        <v>74</v>
      </c>
      <c r="E127" s="28" t="s">
        <v>457</v>
      </c>
      <c r="F127" s="28" t="s">
        <v>125</v>
      </c>
      <c r="G127" s="28">
        <v>6099</v>
      </c>
      <c r="H127" s="28">
        <v>3382</v>
      </c>
      <c r="I127" s="28">
        <v>50</v>
      </c>
      <c r="J127" s="28">
        <v>42</v>
      </c>
      <c r="K127" s="28">
        <v>19</v>
      </c>
      <c r="L127" s="28">
        <v>2</v>
      </c>
      <c r="M127" s="28">
        <v>1</v>
      </c>
      <c r="N127" s="28" t="s">
        <v>22</v>
      </c>
      <c r="O127" s="28" t="s">
        <v>446</v>
      </c>
      <c r="P127" s="28" t="s">
        <v>103</v>
      </c>
      <c r="Q127" s="28">
        <v>4</v>
      </c>
      <c r="R127" s="28" t="s">
        <v>31</v>
      </c>
      <c r="S127" s="28">
        <v>200</v>
      </c>
    </row>
    <row r="128" spans="1:19" x14ac:dyDescent="0.3">
      <c r="A128" s="30" t="s">
        <v>238</v>
      </c>
      <c r="B128" s="27">
        <v>45627</v>
      </c>
      <c r="C128" s="26" t="s">
        <v>201</v>
      </c>
      <c r="D128" s="26" t="s">
        <v>27</v>
      </c>
      <c r="E128" s="26" t="s">
        <v>456</v>
      </c>
      <c r="F128" s="26" t="s">
        <v>202</v>
      </c>
      <c r="G128" s="26">
        <v>170229</v>
      </c>
      <c r="H128" s="26">
        <v>109011</v>
      </c>
      <c r="I128" s="26">
        <v>80</v>
      </c>
      <c r="J128" s="26">
        <v>140</v>
      </c>
      <c r="K128" s="26">
        <v>179</v>
      </c>
      <c r="L128" s="26">
        <v>14</v>
      </c>
      <c r="M128" s="26">
        <v>2</v>
      </c>
      <c r="N128" s="26" t="s">
        <v>22</v>
      </c>
      <c r="O128" s="26" t="s">
        <v>147</v>
      </c>
      <c r="P128" s="26" t="s">
        <v>148</v>
      </c>
      <c r="Q128" s="26">
        <v>8</v>
      </c>
      <c r="R128" s="26" t="s">
        <v>31</v>
      </c>
      <c r="S128" s="26">
        <v>100</v>
      </c>
    </row>
    <row r="129" spans="1:19" x14ac:dyDescent="0.3">
      <c r="A129" s="31" t="s">
        <v>239</v>
      </c>
      <c r="B129" s="29">
        <v>45309</v>
      </c>
      <c r="C129" s="28" t="s">
        <v>54</v>
      </c>
      <c r="D129" s="28" t="s">
        <v>27</v>
      </c>
      <c r="E129" s="28" t="s">
        <v>456</v>
      </c>
      <c r="F129" s="28" t="s">
        <v>55</v>
      </c>
      <c r="G129" s="28">
        <v>41360</v>
      </c>
      <c r="H129" s="28">
        <v>25520</v>
      </c>
      <c r="I129" s="28">
        <v>35</v>
      </c>
      <c r="J129" s="28">
        <v>26</v>
      </c>
      <c r="K129" s="28">
        <v>176</v>
      </c>
      <c r="L129" s="28">
        <v>2</v>
      </c>
      <c r="M129" s="28">
        <v>2</v>
      </c>
      <c r="N129" s="28" t="s">
        <v>41</v>
      </c>
      <c r="O129" s="28" t="s">
        <v>446</v>
      </c>
      <c r="P129" s="28" t="s">
        <v>103</v>
      </c>
      <c r="Q129" s="28">
        <v>3</v>
      </c>
      <c r="R129" s="28" t="s">
        <v>31</v>
      </c>
      <c r="S129" s="28">
        <v>1000</v>
      </c>
    </row>
    <row r="130" spans="1:19" x14ac:dyDescent="0.3">
      <c r="A130" s="30" t="s">
        <v>240</v>
      </c>
      <c r="B130" s="27">
        <v>45300</v>
      </c>
      <c r="C130" s="26" t="s">
        <v>241</v>
      </c>
      <c r="D130" s="26" t="s">
        <v>74</v>
      </c>
      <c r="E130" s="26" t="s">
        <v>457</v>
      </c>
      <c r="F130" s="26" t="s">
        <v>242</v>
      </c>
      <c r="G130" s="26">
        <v>11560</v>
      </c>
      <c r="H130" s="26">
        <v>6375</v>
      </c>
      <c r="I130" s="26">
        <v>35</v>
      </c>
      <c r="J130" s="26">
        <v>16</v>
      </c>
      <c r="K130" s="26">
        <v>85</v>
      </c>
      <c r="L130" s="26">
        <v>4</v>
      </c>
      <c r="M130" s="26">
        <v>0</v>
      </c>
      <c r="N130" s="26" t="s">
        <v>41</v>
      </c>
      <c r="O130" s="26" t="s">
        <v>29</v>
      </c>
      <c r="P130" s="26" t="s">
        <v>30</v>
      </c>
      <c r="Q130" s="26">
        <v>3</v>
      </c>
      <c r="R130" s="26" t="s">
        <v>31</v>
      </c>
      <c r="S130" s="26">
        <v>100</v>
      </c>
    </row>
    <row r="131" spans="1:19" x14ac:dyDescent="0.3">
      <c r="A131" s="31" t="s">
        <v>243</v>
      </c>
      <c r="B131" s="29">
        <v>45421</v>
      </c>
      <c r="C131" s="28" t="s">
        <v>54</v>
      </c>
      <c r="D131" s="28" t="s">
        <v>27</v>
      </c>
      <c r="E131" s="28" t="s">
        <v>457</v>
      </c>
      <c r="F131" s="28" t="s">
        <v>55</v>
      </c>
      <c r="G131" s="28">
        <v>56892</v>
      </c>
      <c r="H131" s="28">
        <v>31284</v>
      </c>
      <c r="I131" s="28">
        <v>60</v>
      </c>
      <c r="J131" s="28">
        <v>63</v>
      </c>
      <c r="K131" s="28">
        <v>132</v>
      </c>
      <c r="L131" s="28">
        <v>7</v>
      </c>
      <c r="M131" s="28">
        <v>5</v>
      </c>
      <c r="N131" s="28" t="s">
        <v>22</v>
      </c>
      <c r="O131" s="28" t="s">
        <v>444</v>
      </c>
      <c r="P131" s="28" t="s">
        <v>37</v>
      </c>
      <c r="Q131" s="28">
        <v>3</v>
      </c>
      <c r="R131" s="28" t="s">
        <v>31</v>
      </c>
      <c r="S131" s="28">
        <v>0</v>
      </c>
    </row>
    <row r="132" spans="1:19" x14ac:dyDescent="0.3">
      <c r="A132" s="30" t="s">
        <v>244</v>
      </c>
      <c r="B132" s="27">
        <v>45618</v>
      </c>
      <c r="C132" s="26" t="s">
        <v>80</v>
      </c>
      <c r="D132" s="26" t="s">
        <v>20</v>
      </c>
      <c r="E132" s="26" t="s">
        <v>456</v>
      </c>
      <c r="F132" s="26" t="s">
        <v>81</v>
      </c>
      <c r="G132" s="26">
        <v>14256</v>
      </c>
      <c r="H132" s="26">
        <v>6732</v>
      </c>
      <c r="I132" s="26">
        <v>70</v>
      </c>
      <c r="J132" s="26">
        <v>18</v>
      </c>
      <c r="K132" s="26">
        <v>99</v>
      </c>
      <c r="L132" s="26">
        <v>1</v>
      </c>
      <c r="M132" s="26">
        <v>4</v>
      </c>
      <c r="N132" s="26" t="s">
        <v>22</v>
      </c>
      <c r="O132" s="26" t="s">
        <v>51</v>
      </c>
      <c r="P132" s="26" t="s">
        <v>52</v>
      </c>
      <c r="Q132" s="26">
        <v>6</v>
      </c>
      <c r="R132" s="26" t="s">
        <v>31</v>
      </c>
      <c r="S132" s="26">
        <v>200</v>
      </c>
    </row>
    <row r="133" spans="1:19" x14ac:dyDescent="0.3">
      <c r="A133" s="31" t="s">
        <v>245</v>
      </c>
      <c r="B133" s="29">
        <v>45580</v>
      </c>
      <c r="C133" s="28" t="s">
        <v>26</v>
      </c>
      <c r="D133" s="28" t="s">
        <v>27</v>
      </c>
      <c r="E133" s="28" t="s">
        <v>457</v>
      </c>
      <c r="F133" s="28" t="s">
        <v>28</v>
      </c>
      <c r="G133" s="28">
        <v>56916</v>
      </c>
      <c r="H133" s="28">
        <v>38828</v>
      </c>
      <c r="I133" s="28">
        <v>60</v>
      </c>
      <c r="J133" s="28">
        <v>68</v>
      </c>
      <c r="K133" s="28">
        <v>68</v>
      </c>
      <c r="L133" s="28">
        <v>2</v>
      </c>
      <c r="M133" s="28">
        <v>3</v>
      </c>
      <c r="N133" s="28" t="s">
        <v>22</v>
      </c>
      <c r="O133" s="28" t="s">
        <v>51</v>
      </c>
      <c r="P133" s="28" t="s">
        <v>52</v>
      </c>
      <c r="Q133" s="28">
        <v>4</v>
      </c>
      <c r="R133" s="28" t="s">
        <v>31</v>
      </c>
      <c r="S133" s="28">
        <v>100</v>
      </c>
    </row>
    <row r="134" spans="1:19" x14ac:dyDescent="0.3">
      <c r="A134" s="30" t="s">
        <v>246</v>
      </c>
      <c r="B134" s="27">
        <v>45363</v>
      </c>
      <c r="C134" s="26" t="s">
        <v>105</v>
      </c>
      <c r="D134" s="26" t="s">
        <v>49</v>
      </c>
      <c r="E134" s="26" t="s">
        <v>456</v>
      </c>
      <c r="F134" s="26" t="s">
        <v>106</v>
      </c>
      <c r="G134" s="26">
        <v>14948</v>
      </c>
      <c r="H134" s="26">
        <v>10360</v>
      </c>
      <c r="I134" s="26">
        <v>35</v>
      </c>
      <c r="J134" s="26">
        <v>18</v>
      </c>
      <c r="K134" s="26">
        <v>74</v>
      </c>
      <c r="L134" s="26">
        <v>5</v>
      </c>
      <c r="M134" s="26">
        <v>3</v>
      </c>
      <c r="N134" s="26" t="s">
        <v>41</v>
      </c>
      <c r="O134" s="26" t="s">
        <v>97</v>
      </c>
      <c r="P134" s="26" t="s">
        <v>98</v>
      </c>
      <c r="Q134" s="26">
        <v>6</v>
      </c>
      <c r="R134" s="26" t="s">
        <v>31</v>
      </c>
      <c r="S134" s="26">
        <v>0</v>
      </c>
    </row>
    <row r="135" spans="1:19" x14ac:dyDescent="0.3">
      <c r="A135" s="31" t="s">
        <v>247</v>
      </c>
      <c r="B135" s="29">
        <v>45387</v>
      </c>
      <c r="C135" s="28" t="s">
        <v>48</v>
      </c>
      <c r="D135" s="28" t="s">
        <v>49</v>
      </c>
      <c r="E135" s="26" t="s">
        <v>456</v>
      </c>
      <c r="F135" s="28" t="s">
        <v>50</v>
      </c>
      <c r="G135" s="28">
        <v>205668</v>
      </c>
      <c r="H135" s="28">
        <v>112093</v>
      </c>
      <c r="I135" s="28">
        <v>55</v>
      </c>
      <c r="J135" s="28">
        <v>142</v>
      </c>
      <c r="K135" s="28">
        <v>197</v>
      </c>
      <c r="L135" s="28">
        <v>2</v>
      </c>
      <c r="M135" s="28">
        <v>4</v>
      </c>
      <c r="N135" s="28" t="s">
        <v>22</v>
      </c>
      <c r="O135" s="28" t="s">
        <v>70</v>
      </c>
      <c r="P135" s="28" t="s">
        <v>71</v>
      </c>
      <c r="Q135" s="28">
        <v>5</v>
      </c>
      <c r="R135" s="28" t="s">
        <v>31</v>
      </c>
      <c r="S135" s="28">
        <v>100</v>
      </c>
    </row>
    <row r="136" spans="1:19" x14ac:dyDescent="0.3">
      <c r="A136" s="30" t="s">
        <v>248</v>
      </c>
      <c r="B136" s="27">
        <v>45519</v>
      </c>
      <c r="C136" s="26" t="s">
        <v>65</v>
      </c>
      <c r="D136" s="26" t="s">
        <v>34</v>
      </c>
      <c r="E136" s="28" t="s">
        <v>457</v>
      </c>
      <c r="F136" s="26" t="s">
        <v>35</v>
      </c>
      <c r="G136" s="26">
        <v>66693</v>
      </c>
      <c r="H136" s="26">
        <v>31734</v>
      </c>
      <c r="I136" s="26">
        <v>40</v>
      </c>
      <c r="J136" s="26">
        <v>48</v>
      </c>
      <c r="K136" s="26">
        <v>129</v>
      </c>
      <c r="L136" s="26">
        <v>13</v>
      </c>
      <c r="M136" s="26">
        <v>0</v>
      </c>
      <c r="N136" s="26" t="s">
        <v>22</v>
      </c>
      <c r="O136" s="26" t="s">
        <v>447</v>
      </c>
      <c r="P136" s="26" t="s">
        <v>63</v>
      </c>
      <c r="Q136" s="26">
        <v>3</v>
      </c>
      <c r="R136" s="26" t="s">
        <v>24</v>
      </c>
      <c r="S136" s="26">
        <v>500</v>
      </c>
    </row>
    <row r="137" spans="1:19" x14ac:dyDescent="0.3">
      <c r="A137" s="31" t="s">
        <v>249</v>
      </c>
      <c r="B137" s="29">
        <v>45441</v>
      </c>
      <c r="C137" s="28" t="s">
        <v>108</v>
      </c>
      <c r="D137" s="28" t="s">
        <v>20</v>
      </c>
      <c r="E137" s="26" t="s">
        <v>456</v>
      </c>
      <c r="F137" s="28" t="s">
        <v>109</v>
      </c>
      <c r="G137" s="28">
        <v>29986</v>
      </c>
      <c r="H137" s="28">
        <v>14152</v>
      </c>
      <c r="I137" s="28">
        <v>50</v>
      </c>
      <c r="J137" s="28">
        <v>62</v>
      </c>
      <c r="K137" s="28">
        <v>58</v>
      </c>
      <c r="L137" s="28">
        <v>1</v>
      </c>
      <c r="M137" s="28">
        <v>0</v>
      </c>
      <c r="N137" s="28" t="s">
        <v>41</v>
      </c>
      <c r="O137" s="28" t="s">
        <v>445</v>
      </c>
      <c r="P137" s="28" t="s">
        <v>42</v>
      </c>
      <c r="Q137" s="28">
        <v>4</v>
      </c>
      <c r="R137" s="28" t="s">
        <v>31</v>
      </c>
      <c r="S137" s="28">
        <v>300</v>
      </c>
    </row>
    <row r="138" spans="1:19" x14ac:dyDescent="0.3">
      <c r="A138" s="30" t="s">
        <v>250</v>
      </c>
      <c r="B138" s="27">
        <v>45445</v>
      </c>
      <c r="C138" s="26" t="s">
        <v>95</v>
      </c>
      <c r="D138" s="26" t="s">
        <v>49</v>
      </c>
      <c r="E138" s="28" t="s">
        <v>457</v>
      </c>
      <c r="F138" s="26" t="s">
        <v>96</v>
      </c>
      <c r="G138" s="26">
        <v>94470</v>
      </c>
      <c r="H138" s="26">
        <v>51042</v>
      </c>
      <c r="I138" s="26">
        <v>50</v>
      </c>
      <c r="J138" s="26">
        <v>87</v>
      </c>
      <c r="K138" s="26">
        <v>141</v>
      </c>
      <c r="L138" s="26">
        <v>6</v>
      </c>
      <c r="M138" s="26">
        <v>7</v>
      </c>
      <c r="N138" s="26" t="s">
        <v>22</v>
      </c>
      <c r="O138" s="26" t="s">
        <v>444</v>
      </c>
      <c r="P138" s="26" t="s">
        <v>37</v>
      </c>
      <c r="Q138" s="26">
        <v>6</v>
      </c>
      <c r="R138" s="26" t="s">
        <v>31</v>
      </c>
      <c r="S138" s="26">
        <v>300</v>
      </c>
    </row>
    <row r="139" spans="1:19" x14ac:dyDescent="0.3">
      <c r="A139" s="31" t="s">
        <v>251</v>
      </c>
      <c r="B139" s="29">
        <v>45463</v>
      </c>
      <c r="C139" s="28" t="s">
        <v>73</v>
      </c>
      <c r="D139" s="28" t="s">
        <v>74</v>
      </c>
      <c r="E139" s="26" t="s">
        <v>456</v>
      </c>
      <c r="F139" s="28" t="s">
        <v>75</v>
      </c>
      <c r="G139" s="28">
        <v>101738</v>
      </c>
      <c r="H139" s="28">
        <v>67600</v>
      </c>
      <c r="I139" s="28">
        <v>45</v>
      </c>
      <c r="J139" s="28">
        <v>61</v>
      </c>
      <c r="K139" s="28">
        <v>169</v>
      </c>
      <c r="L139" s="28">
        <v>15</v>
      </c>
      <c r="M139" s="28">
        <v>5</v>
      </c>
      <c r="N139" s="28" t="s">
        <v>41</v>
      </c>
      <c r="O139" s="28" t="s">
        <v>97</v>
      </c>
      <c r="P139" s="28" t="s">
        <v>98</v>
      </c>
      <c r="Q139" s="28">
        <v>8</v>
      </c>
      <c r="R139" s="28" t="s">
        <v>31</v>
      </c>
      <c r="S139" s="28">
        <v>500</v>
      </c>
    </row>
    <row r="140" spans="1:19" x14ac:dyDescent="0.3">
      <c r="A140" s="30" t="s">
        <v>252</v>
      </c>
      <c r="B140" s="27">
        <v>45484</v>
      </c>
      <c r="C140" s="26" t="s">
        <v>44</v>
      </c>
      <c r="D140" s="26" t="s">
        <v>45</v>
      </c>
      <c r="E140" s="28" t="s">
        <v>457</v>
      </c>
      <c r="F140" s="26" t="s">
        <v>46</v>
      </c>
      <c r="G140" s="26">
        <v>29832</v>
      </c>
      <c r="H140" s="26">
        <v>16368</v>
      </c>
      <c r="I140" s="26">
        <v>40</v>
      </c>
      <c r="J140" s="26">
        <v>66</v>
      </c>
      <c r="K140" s="26">
        <v>66</v>
      </c>
      <c r="L140" s="26">
        <v>2</v>
      </c>
      <c r="M140" s="26">
        <v>0</v>
      </c>
      <c r="N140" s="26" t="s">
        <v>22</v>
      </c>
      <c r="O140" s="26" t="s">
        <v>445</v>
      </c>
      <c r="P140" s="26" t="s">
        <v>42</v>
      </c>
      <c r="Q140" s="26">
        <v>5</v>
      </c>
      <c r="R140" s="26" t="s">
        <v>31</v>
      </c>
      <c r="S140" s="26">
        <v>200</v>
      </c>
    </row>
    <row r="141" spans="1:19" x14ac:dyDescent="0.3">
      <c r="A141" s="31" t="s">
        <v>253</v>
      </c>
      <c r="B141" s="29">
        <v>45616</v>
      </c>
      <c r="C141" s="28" t="s">
        <v>113</v>
      </c>
      <c r="D141" s="28" t="s">
        <v>114</v>
      </c>
      <c r="E141" s="26" t="s">
        <v>456</v>
      </c>
      <c r="F141" s="28" t="s">
        <v>115</v>
      </c>
      <c r="G141" s="28">
        <v>12078</v>
      </c>
      <c r="H141" s="28">
        <v>7425</v>
      </c>
      <c r="I141" s="28">
        <v>70</v>
      </c>
      <c r="J141" s="28">
        <v>49</v>
      </c>
      <c r="K141" s="28">
        <v>33</v>
      </c>
      <c r="L141" s="28">
        <v>3</v>
      </c>
      <c r="M141" s="28">
        <v>1</v>
      </c>
      <c r="N141" s="28" t="s">
        <v>22</v>
      </c>
      <c r="O141" s="28" t="s">
        <v>446</v>
      </c>
      <c r="P141" s="28" t="s">
        <v>103</v>
      </c>
      <c r="Q141" s="28">
        <v>8</v>
      </c>
      <c r="R141" s="28" t="s">
        <v>31</v>
      </c>
      <c r="S141" s="28">
        <v>0</v>
      </c>
    </row>
    <row r="142" spans="1:19" x14ac:dyDescent="0.3">
      <c r="A142" s="30" t="s">
        <v>254</v>
      </c>
      <c r="B142" s="27">
        <v>45628</v>
      </c>
      <c r="C142" s="26" t="s">
        <v>60</v>
      </c>
      <c r="D142" s="26" t="s">
        <v>61</v>
      </c>
      <c r="E142" s="28" t="s">
        <v>457</v>
      </c>
      <c r="F142" s="26" t="s">
        <v>62</v>
      </c>
      <c r="G142" s="26">
        <v>172260</v>
      </c>
      <c r="H142" s="26">
        <v>105300</v>
      </c>
      <c r="I142" s="26">
        <v>35</v>
      </c>
      <c r="J142" s="26">
        <v>114</v>
      </c>
      <c r="K142" s="26">
        <v>180</v>
      </c>
      <c r="L142" s="26">
        <v>12</v>
      </c>
      <c r="M142" s="26">
        <v>5</v>
      </c>
      <c r="N142" s="26" t="s">
        <v>41</v>
      </c>
      <c r="O142" s="26" t="s">
        <v>444</v>
      </c>
      <c r="P142" s="26" t="s">
        <v>37</v>
      </c>
      <c r="Q142" s="26">
        <v>3</v>
      </c>
      <c r="R142" s="26" t="s">
        <v>31</v>
      </c>
      <c r="S142" s="26">
        <v>0</v>
      </c>
    </row>
    <row r="143" spans="1:19" x14ac:dyDescent="0.3">
      <c r="A143" s="31" t="s">
        <v>255</v>
      </c>
      <c r="B143" s="29">
        <v>45483</v>
      </c>
      <c r="C143" s="28" t="s">
        <v>73</v>
      </c>
      <c r="D143" s="28" t="s">
        <v>74</v>
      </c>
      <c r="E143" s="26" t="s">
        <v>456</v>
      </c>
      <c r="F143" s="28" t="s">
        <v>75</v>
      </c>
      <c r="G143" s="28">
        <v>11172</v>
      </c>
      <c r="H143" s="28">
        <v>6930</v>
      </c>
      <c r="I143" s="28">
        <v>45</v>
      </c>
      <c r="J143" s="28">
        <v>55</v>
      </c>
      <c r="K143" s="28">
        <v>21</v>
      </c>
      <c r="L143" s="28">
        <v>0</v>
      </c>
      <c r="M143" s="28">
        <v>1</v>
      </c>
      <c r="N143" s="28" t="s">
        <v>36</v>
      </c>
      <c r="O143" s="28" t="s">
        <v>147</v>
      </c>
      <c r="P143" s="28" t="s">
        <v>148</v>
      </c>
      <c r="Q143" s="28">
        <v>5</v>
      </c>
      <c r="R143" s="28" t="s">
        <v>24</v>
      </c>
      <c r="S143" s="28">
        <v>0</v>
      </c>
    </row>
    <row r="144" spans="1:19" x14ac:dyDescent="0.3">
      <c r="A144" s="30" t="s">
        <v>256</v>
      </c>
      <c r="B144" s="27">
        <v>45539</v>
      </c>
      <c r="C144" s="26" t="s">
        <v>54</v>
      </c>
      <c r="D144" s="26" t="s">
        <v>27</v>
      </c>
      <c r="E144" s="28" t="s">
        <v>457</v>
      </c>
      <c r="F144" s="26" t="s">
        <v>55</v>
      </c>
      <c r="G144" s="26">
        <v>42588</v>
      </c>
      <c r="H144" s="26">
        <v>23842</v>
      </c>
      <c r="I144" s="26">
        <v>80</v>
      </c>
      <c r="J144" s="26">
        <v>48</v>
      </c>
      <c r="K144" s="26">
        <v>91</v>
      </c>
      <c r="L144" s="26">
        <v>1</v>
      </c>
      <c r="M144" s="26">
        <v>0</v>
      </c>
      <c r="N144" s="26" t="s">
        <v>22</v>
      </c>
      <c r="O144" s="26" t="s">
        <v>147</v>
      </c>
      <c r="P144" s="26" t="s">
        <v>148</v>
      </c>
      <c r="Q144" s="26">
        <v>8</v>
      </c>
      <c r="R144" s="26" t="s">
        <v>31</v>
      </c>
      <c r="S144" s="26">
        <v>0</v>
      </c>
    </row>
    <row r="145" spans="1:19" x14ac:dyDescent="0.3">
      <c r="A145" s="31" t="s">
        <v>257</v>
      </c>
      <c r="B145" s="29">
        <v>45578</v>
      </c>
      <c r="C145" s="28" t="s">
        <v>223</v>
      </c>
      <c r="D145" s="28" t="s">
        <v>45</v>
      </c>
      <c r="E145" s="26" t="s">
        <v>456</v>
      </c>
      <c r="F145" s="28" t="s">
        <v>224</v>
      </c>
      <c r="G145" s="28">
        <v>39122</v>
      </c>
      <c r="H145" s="28">
        <v>19902</v>
      </c>
      <c r="I145" s="28">
        <v>70</v>
      </c>
      <c r="J145" s="28">
        <v>78</v>
      </c>
      <c r="K145" s="28">
        <v>62</v>
      </c>
      <c r="L145" s="28">
        <v>6</v>
      </c>
      <c r="M145" s="28">
        <v>3</v>
      </c>
      <c r="N145" s="28" t="s">
        <v>22</v>
      </c>
      <c r="O145" s="28" t="s">
        <v>51</v>
      </c>
      <c r="P145" s="28" t="s">
        <v>52</v>
      </c>
      <c r="Q145" s="28">
        <v>6</v>
      </c>
      <c r="R145" s="28" t="s">
        <v>31</v>
      </c>
      <c r="S145" s="28">
        <v>1000</v>
      </c>
    </row>
    <row r="146" spans="1:19" x14ac:dyDescent="0.3">
      <c r="A146" s="30" t="s">
        <v>258</v>
      </c>
      <c r="B146" s="27">
        <v>45652</v>
      </c>
      <c r="C146" s="26" t="s">
        <v>90</v>
      </c>
      <c r="D146" s="26" t="s">
        <v>34</v>
      </c>
      <c r="E146" s="28" t="s">
        <v>456</v>
      </c>
      <c r="F146" s="26" t="s">
        <v>91</v>
      </c>
      <c r="G146" s="26">
        <v>13520</v>
      </c>
      <c r="H146" s="26">
        <v>8775</v>
      </c>
      <c r="I146" s="26">
        <v>45</v>
      </c>
      <c r="J146" s="26">
        <v>22</v>
      </c>
      <c r="K146" s="26">
        <v>65</v>
      </c>
      <c r="L146" s="26">
        <v>1</v>
      </c>
      <c r="M146" s="26">
        <v>2</v>
      </c>
      <c r="N146" s="26" t="s">
        <v>22</v>
      </c>
      <c r="O146" s="26" t="s">
        <v>51</v>
      </c>
      <c r="P146" s="26" t="s">
        <v>52</v>
      </c>
      <c r="Q146" s="26">
        <v>6</v>
      </c>
      <c r="R146" s="26" t="s">
        <v>31</v>
      </c>
      <c r="S146" s="26">
        <v>500</v>
      </c>
    </row>
    <row r="147" spans="1:19" x14ac:dyDescent="0.3">
      <c r="A147" s="31" t="s">
        <v>259</v>
      </c>
      <c r="B147" s="29">
        <v>45472</v>
      </c>
      <c r="C147" s="28" t="s">
        <v>87</v>
      </c>
      <c r="D147" s="28" t="s">
        <v>45</v>
      </c>
      <c r="E147" s="26" t="s">
        <v>456</v>
      </c>
      <c r="F147" s="28" t="s">
        <v>88</v>
      </c>
      <c r="G147" s="28">
        <v>105078</v>
      </c>
      <c r="H147" s="28">
        <v>68724</v>
      </c>
      <c r="I147" s="28">
        <v>55</v>
      </c>
      <c r="J147" s="28">
        <v>91</v>
      </c>
      <c r="K147" s="28">
        <v>166</v>
      </c>
      <c r="L147" s="28">
        <v>4</v>
      </c>
      <c r="M147" s="28">
        <v>5</v>
      </c>
      <c r="N147" s="28" t="s">
        <v>41</v>
      </c>
      <c r="O147" s="28" t="s">
        <v>29</v>
      </c>
      <c r="P147" s="28" t="s">
        <v>30</v>
      </c>
      <c r="Q147" s="28">
        <v>4</v>
      </c>
      <c r="R147" s="28" t="s">
        <v>31</v>
      </c>
      <c r="S147" s="28">
        <v>300</v>
      </c>
    </row>
    <row r="148" spans="1:19" x14ac:dyDescent="0.3">
      <c r="A148" s="30" t="s">
        <v>260</v>
      </c>
      <c r="B148" s="27">
        <v>45597</v>
      </c>
      <c r="C148" s="26" t="s">
        <v>95</v>
      </c>
      <c r="D148" s="26" t="s">
        <v>49</v>
      </c>
      <c r="E148" s="28" t="s">
        <v>457</v>
      </c>
      <c r="F148" s="26" t="s">
        <v>96</v>
      </c>
      <c r="G148" s="26">
        <v>53184</v>
      </c>
      <c r="H148" s="26">
        <v>29568</v>
      </c>
      <c r="I148" s="26">
        <v>80</v>
      </c>
      <c r="J148" s="26">
        <v>34</v>
      </c>
      <c r="K148" s="26">
        <v>192</v>
      </c>
      <c r="L148" s="26">
        <v>5</v>
      </c>
      <c r="M148" s="26">
        <v>8</v>
      </c>
      <c r="N148" s="26" t="s">
        <v>22</v>
      </c>
      <c r="O148" s="26" t="s">
        <v>147</v>
      </c>
      <c r="P148" s="26" t="s">
        <v>148</v>
      </c>
      <c r="Q148" s="26">
        <v>4</v>
      </c>
      <c r="R148" s="26" t="s">
        <v>31</v>
      </c>
      <c r="S148" s="26">
        <v>300</v>
      </c>
    </row>
    <row r="149" spans="1:19" x14ac:dyDescent="0.3">
      <c r="A149" s="31" t="s">
        <v>261</v>
      </c>
      <c r="B149" s="29">
        <v>45296</v>
      </c>
      <c r="C149" s="28" t="s">
        <v>87</v>
      </c>
      <c r="D149" s="28" t="s">
        <v>45</v>
      </c>
      <c r="E149" s="26" t="s">
        <v>456</v>
      </c>
      <c r="F149" s="28" t="s">
        <v>88</v>
      </c>
      <c r="G149" s="28">
        <v>73500</v>
      </c>
      <c r="H149" s="28">
        <v>48020</v>
      </c>
      <c r="I149" s="28">
        <v>80</v>
      </c>
      <c r="J149" s="28">
        <v>57</v>
      </c>
      <c r="K149" s="28">
        <v>140</v>
      </c>
      <c r="L149" s="28">
        <v>14</v>
      </c>
      <c r="M149" s="28">
        <v>7</v>
      </c>
      <c r="N149" s="28" t="s">
        <v>36</v>
      </c>
      <c r="O149" s="28" t="s">
        <v>23</v>
      </c>
      <c r="P149" s="28" t="s">
        <v>23</v>
      </c>
      <c r="Q149" s="28">
        <v>5</v>
      </c>
      <c r="R149" s="28" t="s">
        <v>24</v>
      </c>
      <c r="S149" s="28">
        <v>0</v>
      </c>
    </row>
    <row r="150" spans="1:19" x14ac:dyDescent="0.3">
      <c r="A150" s="30" t="s">
        <v>262</v>
      </c>
      <c r="B150" s="27">
        <v>45526</v>
      </c>
      <c r="C150" s="26" t="s">
        <v>152</v>
      </c>
      <c r="D150" s="26" t="s">
        <v>114</v>
      </c>
      <c r="E150" s="28" t="s">
        <v>457</v>
      </c>
      <c r="F150" s="26" t="s">
        <v>153</v>
      </c>
      <c r="G150" s="26">
        <v>79348</v>
      </c>
      <c r="H150" s="26">
        <v>50879</v>
      </c>
      <c r="I150" s="26">
        <v>40</v>
      </c>
      <c r="J150" s="26">
        <v>115</v>
      </c>
      <c r="K150" s="26">
        <v>83</v>
      </c>
      <c r="L150" s="26">
        <v>5</v>
      </c>
      <c r="M150" s="26">
        <v>4</v>
      </c>
      <c r="N150" s="26" t="s">
        <v>22</v>
      </c>
      <c r="O150" s="26" t="s">
        <v>447</v>
      </c>
      <c r="P150" s="26" t="s">
        <v>63</v>
      </c>
      <c r="Q150" s="26">
        <v>4</v>
      </c>
      <c r="R150" s="26" t="s">
        <v>24</v>
      </c>
      <c r="S150" s="26">
        <v>1000</v>
      </c>
    </row>
    <row r="151" spans="1:19" x14ac:dyDescent="0.3">
      <c r="A151" s="31" t="s">
        <v>263</v>
      </c>
      <c r="B151" s="29">
        <v>45522</v>
      </c>
      <c r="C151" s="28" t="s">
        <v>206</v>
      </c>
      <c r="D151" s="28" t="s">
        <v>20</v>
      </c>
      <c r="E151" s="26" t="s">
        <v>456</v>
      </c>
      <c r="F151" s="28" t="s">
        <v>207</v>
      </c>
      <c r="G151" s="28">
        <v>17190</v>
      </c>
      <c r="H151" s="28">
        <v>11250</v>
      </c>
      <c r="I151" s="28">
        <v>80</v>
      </c>
      <c r="J151" s="28">
        <v>54</v>
      </c>
      <c r="K151" s="28">
        <v>45</v>
      </c>
      <c r="L151" s="28">
        <v>1</v>
      </c>
      <c r="M151" s="28">
        <v>2</v>
      </c>
      <c r="N151" s="28" t="s">
        <v>41</v>
      </c>
      <c r="O151" s="28" t="s">
        <v>147</v>
      </c>
      <c r="P151" s="28" t="s">
        <v>148</v>
      </c>
      <c r="Q151" s="28">
        <v>7</v>
      </c>
      <c r="R151" s="28" t="s">
        <v>31</v>
      </c>
      <c r="S151" s="28">
        <v>750</v>
      </c>
    </row>
    <row r="152" spans="1:19" x14ac:dyDescent="0.3">
      <c r="A152" s="30" t="s">
        <v>264</v>
      </c>
      <c r="B152" s="27">
        <v>45564</v>
      </c>
      <c r="C152" s="26" t="s">
        <v>87</v>
      </c>
      <c r="D152" s="26" t="s">
        <v>45</v>
      </c>
      <c r="E152" s="28" t="s">
        <v>457</v>
      </c>
      <c r="F152" s="26" t="s">
        <v>88</v>
      </c>
      <c r="G152" s="26">
        <v>34777</v>
      </c>
      <c r="H152" s="26">
        <v>17098</v>
      </c>
      <c r="I152" s="26">
        <v>55</v>
      </c>
      <c r="J152" s="26">
        <v>42</v>
      </c>
      <c r="K152" s="26">
        <v>83</v>
      </c>
      <c r="L152" s="26">
        <v>1</v>
      </c>
      <c r="M152" s="26">
        <v>1</v>
      </c>
      <c r="N152" s="26" t="s">
        <v>41</v>
      </c>
      <c r="O152" s="26" t="s">
        <v>97</v>
      </c>
      <c r="P152" s="26" t="s">
        <v>98</v>
      </c>
      <c r="Q152" s="26">
        <v>8</v>
      </c>
      <c r="R152" s="26" t="s">
        <v>31</v>
      </c>
      <c r="S152" s="26">
        <v>0</v>
      </c>
    </row>
    <row r="153" spans="1:19" x14ac:dyDescent="0.3">
      <c r="A153" s="31" t="s">
        <v>265</v>
      </c>
      <c r="B153" s="29">
        <v>45656</v>
      </c>
      <c r="C153" s="28" t="s">
        <v>131</v>
      </c>
      <c r="D153" s="28" t="s">
        <v>114</v>
      </c>
      <c r="E153" s="26" t="s">
        <v>456</v>
      </c>
      <c r="F153" s="28" t="s">
        <v>132</v>
      </c>
      <c r="G153" s="28">
        <v>85698</v>
      </c>
      <c r="H153" s="28">
        <v>54918</v>
      </c>
      <c r="I153" s="28">
        <v>70</v>
      </c>
      <c r="J153" s="28">
        <v>60</v>
      </c>
      <c r="K153" s="28">
        <v>162</v>
      </c>
      <c r="L153" s="28">
        <v>8</v>
      </c>
      <c r="M153" s="28">
        <v>6</v>
      </c>
      <c r="N153" s="28" t="s">
        <v>41</v>
      </c>
      <c r="O153" s="28" t="s">
        <v>29</v>
      </c>
      <c r="P153" s="28" t="s">
        <v>30</v>
      </c>
      <c r="Q153" s="28">
        <v>6</v>
      </c>
      <c r="R153" s="28" t="s">
        <v>31</v>
      </c>
      <c r="S153" s="28">
        <v>0</v>
      </c>
    </row>
    <row r="154" spans="1:19" x14ac:dyDescent="0.3">
      <c r="A154" s="30" t="s">
        <v>266</v>
      </c>
      <c r="B154" s="27">
        <v>45541</v>
      </c>
      <c r="C154" s="26" t="s">
        <v>77</v>
      </c>
      <c r="D154" s="26" t="s">
        <v>74</v>
      </c>
      <c r="E154" s="28" t="s">
        <v>457</v>
      </c>
      <c r="F154" s="26" t="s">
        <v>78</v>
      </c>
      <c r="G154" s="26">
        <v>64152</v>
      </c>
      <c r="H154" s="26">
        <v>42768</v>
      </c>
      <c r="I154" s="26">
        <v>40</v>
      </c>
      <c r="J154" s="26">
        <v>64</v>
      </c>
      <c r="K154" s="26">
        <v>132</v>
      </c>
      <c r="L154" s="26">
        <v>11</v>
      </c>
      <c r="M154" s="26">
        <v>6</v>
      </c>
      <c r="N154" s="26" t="s">
        <v>36</v>
      </c>
      <c r="O154" s="26" t="s">
        <v>70</v>
      </c>
      <c r="P154" s="26" t="s">
        <v>71</v>
      </c>
      <c r="Q154" s="26">
        <v>4</v>
      </c>
      <c r="R154" s="26" t="s">
        <v>31</v>
      </c>
      <c r="S154" s="26">
        <v>200</v>
      </c>
    </row>
    <row r="155" spans="1:19" x14ac:dyDescent="0.3">
      <c r="A155" s="31" t="s">
        <v>267</v>
      </c>
      <c r="B155" s="29">
        <v>45572</v>
      </c>
      <c r="C155" s="28" t="s">
        <v>223</v>
      </c>
      <c r="D155" s="28" t="s">
        <v>45</v>
      </c>
      <c r="E155" s="26" t="s">
        <v>456</v>
      </c>
      <c r="F155" s="28" t="s">
        <v>224</v>
      </c>
      <c r="G155" s="28">
        <v>20439</v>
      </c>
      <c r="H155" s="28">
        <v>13554</v>
      </c>
      <c r="I155" s="28">
        <v>60</v>
      </c>
      <c r="J155" s="28">
        <v>108</v>
      </c>
      <c r="K155" s="28">
        <v>27</v>
      </c>
      <c r="L155" s="28">
        <v>0</v>
      </c>
      <c r="M155" s="28">
        <v>1</v>
      </c>
      <c r="N155" s="28" t="s">
        <v>22</v>
      </c>
      <c r="O155" s="28" t="s">
        <v>445</v>
      </c>
      <c r="P155" s="28" t="s">
        <v>42</v>
      </c>
      <c r="Q155" s="28">
        <v>6</v>
      </c>
      <c r="R155" s="28" t="s">
        <v>24</v>
      </c>
      <c r="S155" s="28">
        <v>100</v>
      </c>
    </row>
    <row r="156" spans="1:19" x14ac:dyDescent="0.3">
      <c r="A156" s="30" t="s">
        <v>268</v>
      </c>
      <c r="B156" s="27">
        <v>45373</v>
      </c>
      <c r="C156" s="26" t="s">
        <v>65</v>
      </c>
      <c r="D156" s="26" t="s">
        <v>34</v>
      </c>
      <c r="E156" s="28" t="s">
        <v>457</v>
      </c>
      <c r="F156" s="26" t="s">
        <v>35</v>
      </c>
      <c r="G156" s="26">
        <v>62083</v>
      </c>
      <c r="H156" s="26">
        <v>33485</v>
      </c>
      <c r="I156" s="26">
        <v>40</v>
      </c>
      <c r="J156" s="26">
        <v>36</v>
      </c>
      <c r="K156" s="26">
        <v>181</v>
      </c>
      <c r="L156" s="26">
        <v>1</v>
      </c>
      <c r="M156" s="26">
        <v>6</v>
      </c>
      <c r="N156" s="26" t="s">
        <v>41</v>
      </c>
      <c r="O156" s="26" t="s">
        <v>70</v>
      </c>
      <c r="P156" s="26" t="s">
        <v>71</v>
      </c>
      <c r="Q156" s="26">
        <v>8</v>
      </c>
      <c r="R156" s="26" t="s">
        <v>31</v>
      </c>
      <c r="S156" s="26">
        <v>200</v>
      </c>
    </row>
    <row r="157" spans="1:19" x14ac:dyDescent="0.3">
      <c r="A157" s="31" t="s">
        <v>269</v>
      </c>
      <c r="B157" s="29">
        <v>45536</v>
      </c>
      <c r="C157" s="28" t="s">
        <v>127</v>
      </c>
      <c r="D157" s="28" t="s">
        <v>61</v>
      </c>
      <c r="E157" s="26" t="s">
        <v>456</v>
      </c>
      <c r="F157" s="28" t="s">
        <v>128</v>
      </c>
      <c r="G157" s="28">
        <v>33582</v>
      </c>
      <c r="H157" s="28">
        <v>16984</v>
      </c>
      <c r="I157" s="28">
        <v>80</v>
      </c>
      <c r="J157" s="28">
        <v>14</v>
      </c>
      <c r="K157" s="28">
        <v>193</v>
      </c>
      <c r="L157" s="28">
        <v>3</v>
      </c>
      <c r="M157" s="28">
        <v>6</v>
      </c>
      <c r="N157" s="28" t="s">
        <v>22</v>
      </c>
      <c r="O157" s="28" t="s">
        <v>29</v>
      </c>
      <c r="P157" s="28" t="s">
        <v>30</v>
      </c>
      <c r="Q157" s="28">
        <v>4</v>
      </c>
      <c r="R157" s="28" t="s">
        <v>31</v>
      </c>
      <c r="S157" s="28">
        <v>1000</v>
      </c>
    </row>
    <row r="158" spans="1:19" x14ac:dyDescent="0.3">
      <c r="A158" s="30" t="s">
        <v>270</v>
      </c>
      <c r="B158" s="27">
        <v>45480</v>
      </c>
      <c r="C158" s="26" t="s">
        <v>44</v>
      </c>
      <c r="D158" s="26" t="s">
        <v>45</v>
      </c>
      <c r="E158" s="28" t="s">
        <v>456</v>
      </c>
      <c r="F158" s="26" t="s">
        <v>46</v>
      </c>
      <c r="G158" s="26">
        <v>65800</v>
      </c>
      <c r="H158" s="26">
        <v>42300</v>
      </c>
      <c r="I158" s="26">
        <v>45</v>
      </c>
      <c r="J158" s="26">
        <v>44</v>
      </c>
      <c r="K158" s="26">
        <v>188</v>
      </c>
      <c r="L158" s="26">
        <v>2</v>
      </c>
      <c r="M158" s="26">
        <v>8</v>
      </c>
      <c r="N158" s="26" t="s">
        <v>41</v>
      </c>
      <c r="O158" s="26" t="s">
        <v>445</v>
      </c>
      <c r="P158" s="26" t="s">
        <v>42</v>
      </c>
      <c r="Q158" s="26">
        <v>5</v>
      </c>
      <c r="R158" s="26" t="s">
        <v>24</v>
      </c>
      <c r="S158" s="26">
        <v>100</v>
      </c>
    </row>
    <row r="159" spans="1:19" x14ac:dyDescent="0.3">
      <c r="A159" s="31" t="s">
        <v>271</v>
      </c>
      <c r="B159" s="29">
        <v>45403</v>
      </c>
      <c r="C159" s="28" t="s">
        <v>73</v>
      </c>
      <c r="D159" s="28" t="s">
        <v>74</v>
      </c>
      <c r="E159" s="26" t="s">
        <v>457</v>
      </c>
      <c r="F159" s="28" t="s">
        <v>75</v>
      </c>
      <c r="G159" s="28">
        <v>26103</v>
      </c>
      <c r="H159" s="28">
        <v>12656</v>
      </c>
      <c r="I159" s="28">
        <v>40</v>
      </c>
      <c r="J159" s="28">
        <v>28</v>
      </c>
      <c r="K159" s="28">
        <v>113</v>
      </c>
      <c r="L159" s="28">
        <v>6</v>
      </c>
      <c r="M159" s="28">
        <v>2</v>
      </c>
      <c r="N159" s="28" t="s">
        <v>41</v>
      </c>
      <c r="O159" s="28" t="s">
        <v>97</v>
      </c>
      <c r="P159" s="28" t="s">
        <v>98</v>
      </c>
      <c r="Q159" s="28">
        <v>8</v>
      </c>
      <c r="R159" s="28" t="s">
        <v>31</v>
      </c>
      <c r="S159" s="28">
        <v>200</v>
      </c>
    </row>
    <row r="160" spans="1:19" x14ac:dyDescent="0.3">
      <c r="A160" s="30" t="s">
        <v>272</v>
      </c>
      <c r="B160" s="27">
        <v>45629</v>
      </c>
      <c r="C160" s="26" t="s">
        <v>139</v>
      </c>
      <c r="D160" s="26" t="s">
        <v>20</v>
      </c>
      <c r="E160" s="28" t="s">
        <v>457</v>
      </c>
      <c r="F160" s="26" t="s">
        <v>140</v>
      </c>
      <c r="G160" s="26">
        <v>32400</v>
      </c>
      <c r="H160" s="26">
        <v>19530</v>
      </c>
      <c r="I160" s="26">
        <v>50</v>
      </c>
      <c r="J160" s="26">
        <v>48</v>
      </c>
      <c r="K160" s="26">
        <v>90</v>
      </c>
      <c r="L160" s="26">
        <v>0</v>
      </c>
      <c r="M160" s="26">
        <v>1</v>
      </c>
      <c r="N160" s="26" t="s">
        <v>22</v>
      </c>
      <c r="O160" s="26" t="s">
        <v>23</v>
      </c>
      <c r="P160" s="26" t="s">
        <v>23</v>
      </c>
      <c r="Q160" s="26">
        <v>6</v>
      </c>
      <c r="R160" s="26" t="s">
        <v>31</v>
      </c>
      <c r="S160" s="26">
        <v>0</v>
      </c>
    </row>
    <row r="161" spans="1:19" x14ac:dyDescent="0.3">
      <c r="A161" s="31" t="s">
        <v>273</v>
      </c>
      <c r="B161" s="29">
        <v>45454</v>
      </c>
      <c r="C161" s="28" t="s">
        <v>159</v>
      </c>
      <c r="D161" s="28" t="s">
        <v>45</v>
      </c>
      <c r="E161" s="26" t="s">
        <v>456</v>
      </c>
      <c r="F161" s="28" t="s">
        <v>160</v>
      </c>
      <c r="G161" s="28">
        <v>48762</v>
      </c>
      <c r="H161" s="28">
        <v>32130</v>
      </c>
      <c r="I161" s="28">
        <v>70</v>
      </c>
      <c r="J161" s="28">
        <v>27</v>
      </c>
      <c r="K161" s="28">
        <v>189</v>
      </c>
      <c r="L161" s="28">
        <v>15</v>
      </c>
      <c r="M161" s="28">
        <v>1</v>
      </c>
      <c r="N161" s="28" t="s">
        <v>22</v>
      </c>
      <c r="O161" s="28" t="s">
        <v>97</v>
      </c>
      <c r="P161" s="28" t="s">
        <v>98</v>
      </c>
      <c r="Q161" s="28">
        <v>4</v>
      </c>
      <c r="R161" s="28" t="s">
        <v>24</v>
      </c>
      <c r="S161" s="28">
        <v>0</v>
      </c>
    </row>
    <row r="162" spans="1:19" x14ac:dyDescent="0.3">
      <c r="A162" s="30" t="s">
        <v>274</v>
      </c>
      <c r="B162" s="27">
        <v>45504</v>
      </c>
      <c r="C162" s="26" t="s">
        <v>57</v>
      </c>
      <c r="D162" s="26" t="s">
        <v>27</v>
      </c>
      <c r="E162" s="28" t="s">
        <v>457</v>
      </c>
      <c r="F162" s="26" t="s">
        <v>58</v>
      </c>
      <c r="G162" s="26">
        <v>54520</v>
      </c>
      <c r="H162" s="26">
        <v>25662</v>
      </c>
      <c r="I162" s="26">
        <v>45</v>
      </c>
      <c r="J162" s="26">
        <v>58</v>
      </c>
      <c r="K162" s="26">
        <v>94</v>
      </c>
      <c r="L162" s="26">
        <v>8</v>
      </c>
      <c r="M162" s="26">
        <v>1</v>
      </c>
      <c r="N162" s="26" t="s">
        <v>41</v>
      </c>
      <c r="O162" s="26" t="s">
        <v>70</v>
      </c>
      <c r="P162" s="26" t="s">
        <v>71</v>
      </c>
      <c r="Q162" s="26">
        <v>7</v>
      </c>
      <c r="R162" s="26" t="s">
        <v>31</v>
      </c>
      <c r="S162" s="26">
        <v>500</v>
      </c>
    </row>
    <row r="163" spans="1:19" x14ac:dyDescent="0.3">
      <c r="A163" s="31" t="s">
        <v>275</v>
      </c>
      <c r="B163" s="29">
        <v>45414</v>
      </c>
      <c r="C163" s="28" t="s">
        <v>48</v>
      </c>
      <c r="D163" s="28" t="s">
        <v>49</v>
      </c>
      <c r="E163" s="26" t="s">
        <v>456</v>
      </c>
      <c r="F163" s="28" t="s">
        <v>50</v>
      </c>
      <c r="G163" s="28">
        <v>20740</v>
      </c>
      <c r="H163" s="28">
        <v>14110</v>
      </c>
      <c r="I163" s="28">
        <v>40</v>
      </c>
      <c r="J163" s="28">
        <v>14</v>
      </c>
      <c r="K163" s="28">
        <v>170</v>
      </c>
      <c r="L163" s="28">
        <v>9</v>
      </c>
      <c r="M163" s="28">
        <v>2</v>
      </c>
      <c r="N163" s="28" t="s">
        <v>36</v>
      </c>
      <c r="O163" s="28" t="s">
        <v>444</v>
      </c>
      <c r="P163" s="28" t="s">
        <v>37</v>
      </c>
      <c r="Q163" s="28">
        <v>4</v>
      </c>
      <c r="R163" s="28" t="s">
        <v>24</v>
      </c>
      <c r="S163" s="28">
        <v>100</v>
      </c>
    </row>
    <row r="164" spans="1:19" x14ac:dyDescent="0.3">
      <c r="A164" s="30" t="s">
        <v>276</v>
      </c>
      <c r="B164" s="27">
        <v>45482</v>
      </c>
      <c r="C164" s="26" t="s">
        <v>152</v>
      </c>
      <c r="D164" s="26" t="s">
        <v>114</v>
      </c>
      <c r="E164" s="26" t="s">
        <v>456</v>
      </c>
      <c r="F164" s="26" t="s">
        <v>153</v>
      </c>
      <c r="G164" s="26">
        <v>6468</v>
      </c>
      <c r="H164" s="26">
        <v>4312</v>
      </c>
      <c r="I164" s="26">
        <v>40</v>
      </c>
      <c r="J164" s="26">
        <v>39</v>
      </c>
      <c r="K164" s="26">
        <v>22</v>
      </c>
      <c r="L164" s="26">
        <v>1</v>
      </c>
      <c r="M164" s="26">
        <v>1</v>
      </c>
      <c r="N164" s="26" t="s">
        <v>22</v>
      </c>
      <c r="O164" s="26" t="s">
        <v>51</v>
      </c>
      <c r="P164" s="26" t="s">
        <v>52</v>
      </c>
      <c r="Q164" s="26">
        <v>8</v>
      </c>
      <c r="R164" s="26" t="s">
        <v>24</v>
      </c>
      <c r="S164" s="26">
        <v>300</v>
      </c>
    </row>
    <row r="165" spans="1:19" x14ac:dyDescent="0.3">
      <c r="A165" s="31" t="s">
        <v>277</v>
      </c>
      <c r="B165" s="29">
        <v>45547</v>
      </c>
      <c r="C165" s="28" t="s">
        <v>80</v>
      </c>
      <c r="D165" s="28" t="s">
        <v>20</v>
      </c>
      <c r="E165" s="28" t="s">
        <v>457</v>
      </c>
      <c r="F165" s="28" t="s">
        <v>81</v>
      </c>
      <c r="G165" s="28">
        <v>143803</v>
      </c>
      <c r="H165" s="28">
        <v>70312</v>
      </c>
      <c r="I165" s="28">
        <v>40</v>
      </c>
      <c r="J165" s="28">
        <v>110</v>
      </c>
      <c r="K165" s="28">
        <v>187</v>
      </c>
      <c r="L165" s="28">
        <v>7</v>
      </c>
      <c r="M165" s="28">
        <v>8</v>
      </c>
      <c r="N165" s="28" t="s">
        <v>36</v>
      </c>
      <c r="O165" s="28" t="s">
        <v>23</v>
      </c>
      <c r="P165" s="28" t="s">
        <v>23</v>
      </c>
      <c r="Q165" s="28">
        <v>3</v>
      </c>
      <c r="R165" s="28" t="s">
        <v>24</v>
      </c>
      <c r="S165" s="28">
        <v>0</v>
      </c>
    </row>
    <row r="166" spans="1:19" x14ac:dyDescent="0.3">
      <c r="A166" s="30" t="s">
        <v>278</v>
      </c>
      <c r="B166" s="27">
        <v>45310</v>
      </c>
      <c r="C166" s="26" t="s">
        <v>279</v>
      </c>
      <c r="D166" s="26" t="s">
        <v>114</v>
      </c>
      <c r="E166" s="26" t="s">
        <v>456</v>
      </c>
      <c r="F166" s="26" t="s">
        <v>280</v>
      </c>
      <c r="G166" s="26">
        <v>58500</v>
      </c>
      <c r="H166" s="26">
        <v>36738</v>
      </c>
      <c r="I166" s="26">
        <v>70</v>
      </c>
      <c r="J166" s="26">
        <v>72</v>
      </c>
      <c r="K166" s="26">
        <v>78</v>
      </c>
      <c r="L166" s="26">
        <v>5</v>
      </c>
      <c r="M166" s="26">
        <v>2</v>
      </c>
      <c r="N166" s="26" t="s">
        <v>22</v>
      </c>
      <c r="O166" s="26" t="s">
        <v>29</v>
      </c>
      <c r="P166" s="26" t="s">
        <v>30</v>
      </c>
      <c r="Q166" s="26">
        <v>7</v>
      </c>
      <c r="R166" s="26" t="s">
        <v>24</v>
      </c>
      <c r="S166" s="26">
        <v>500</v>
      </c>
    </row>
    <row r="167" spans="1:19" x14ac:dyDescent="0.3">
      <c r="A167" s="31" t="s">
        <v>281</v>
      </c>
      <c r="B167" s="29">
        <v>45315</v>
      </c>
      <c r="C167" s="28" t="s">
        <v>54</v>
      </c>
      <c r="D167" s="28" t="s">
        <v>27</v>
      </c>
      <c r="E167" s="28" t="s">
        <v>457</v>
      </c>
      <c r="F167" s="28" t="s">
        <v>55</v>
      </c>
      <c r="G167" s="28">
        <v>42582</v>
      </c>
      <c r="H167" s="28">
        <v>24158</v>
      </c>
      <c r="I167" s="28">
        <v>55</v>
      </c>
      <c r="J167" s="28">
        <v>61</v>
      </c>
      <c r="K167" s="28">
        <v>94</v>
      </c>
      <c r="L167" s="28">
        <v>1</v>
      </c>
      <c r="M167" s="28">
        <v>4</v>
      </c>
      <c r="N167" s="28" t="s">
        <v>36</v>
      </c>
      <c r="O167" s="28" t="s">
        <v>23</v>
      </c>
      <c r="P167" s="28" t="s">
        <v>23</v>
      </c>
      <c r="Q167" s="28">
        <v>5</v>
      </c>
      <c r="R167" s="28" t="s">
        <v>24</v>
      </c>
      <c r="S167" s="28">
        <v>500</v>
      </c>
    </row>
    <row r="168" spans="1:19" x14ac:dyDescent="0.3">
      <c r="A168" s="30" t="s">
        <v>282</v>
      </c>
      <c r="B168" s="27">
        <v>45480</v>
      </c>
      <c r="C168" s="26" t="s">
        <v>77</v>
      </c>
      <c r="D168" s="26" t="s">
        <v>74</v>
      </c>
      <c r="E168" s="26" t="s">
        <v>456</v>
      </c>
      <c r="F168" s="26" t="s">
        <v>78</v>
      </c>
      <c r="G168" s="26">
        <v>158620</v>
      </c>
      <c r="H168" s="26">
        <v>110880</v>
      </c>
      <c r="I168" s="26">
        <v>50</v>
      </c>
      <c r="J168" s="26">
        <v>135</v>
      </c>
      <c r="K168" s="26">
        <v>154</v>
      </c>
      <c r="L168" s="26">
        <v>4</v>
      </c>
      <c r="M168" s="26">
        <v>0</v>
      </c>
      <c r="N168" s="26" t="s">
        <v>41</v>
      </c>
      <c r="O168" s="26" t="s">
        <v>447</v>
      </c>
      <c r="P168" s="26" t="s">
        <v>63</v>
      </c>
      <c r="Q168" s="26">
        <v>5</v>
      </c>
      <c r="R168" s="26" t="s">
        <v>24</v>
      </c>
      <c r="S168" s="26">
        <v>200</v>
      </c>
    </row>
    <row r="169" spans="1:19" x14ac:dyDescent="0.3">
      <c r="A169" s="31" t="s">
        <v>283</v>
      </c>
      <c r="B169" s="29">
        <v>45628</v>
      </c>
      <c r="C169" s="28" t="s">
        <v>108</v>
      </c>
      <c r="D169" s="28" t="s">
        <v>20</v>
      </c>
      <c r="E169" s="28" t="s">
        <v>457</v>
      </c>
      <c r="F169" s="28" t="s">
        <v>109</v>
      </c>
      <c r="G169" s="28">
        <v>45675</v>
      </c>
      <c r="H169" s="28">
        <v>28875</v>
      </c>
      <c r="I169" s="28">
        <v>40</v>
      </c>
      <c r="J169" s="28">
        <v>57</v>
      </c>
      <c r="K169" s="28">
        <v>75</v>
      </c>
      <c r="L169" s="28">
        <v>7</v>
      </c>
      <c r="M169" s="28">
        <v>0</v>
      </c>
      <c r="N169" s="28" t="s">
        <v>22</v>
      </c>
      <c r="O169" s="28" t="s">
        <v>444</v>
      </c>
      <c r="P169" s="28" t="s">
        <v>37</v>
      </c>
      <c r="Q169" s="28">
        <v>4</v>
      </c>
      <c r="R169" s="28" t="s">
        <v>31</v>
      </c>
      <c r="S169" s="28">
        <v>0</v>
      </c>
    </row>
    <row r="170" spans="1:19" x14ac:dyDescent="0.3">
      <c r="A170" s="30" t="s">
        <v>284</v>
      </c>
      <c r="B170" s="27">
        <v>45589</v>
      </c>
      <c r="C170" s="26" t="s">
        <v>121</v>
      </c>
      <c r="D170" s="26" t="s">
        <v>20</v>
      </c>
      <c r="E170" s="26" t="s">
        <v>456</v>
      </c>
      <c r="F170" s="26" t="s">
        <v>109</v>
      </c>
      <c r="G170" s="26">
        <v>32320</v>
      </c>
      <c r="H170" s="26">
        <v>19680</v>
      </c>
      <c r="I170" s="26">
        <v>70</v>
      </c>
      <c r="J170" s="26">
        <v>17</v>
      </c>
      <c r="K170" s="26">
        <v>160</v>
      </c>
      <c r="L170" s="26">
        <v>13</v>
      </c>
      <c r="M170" s="26">
        <v>2</v>
      </c>
      <c r="N170" s="26" t="s">
        <v>41</v>
      </c>
      <c r="O170" s="26" t="s">
        <v>446</v>
      </c>
      <c r="P170" s="26" t="s">
        <v>103</v>
      </c>
      <c r="Q170" s="26">
        <v>6</v>
      </c>
      <c r="R170" s="26" t="s">
        <v>31</v>
      </c>
      <c r="S170" s="26">
        <v>300</v>
      </c>
    </row>
    <row r="171" spans="1:19" x14ac:dyDescent="0.3">
      <c r="A171" s="31" t="s">
        <v>285</v>
      </c>
      <c r="B171" s="29">
        <v>45431</v>
      </c>
      <c r="C171" s="28" t="s">
        <v>73</v>
      </c>
      <c r="D171" s="28" t="s">
        <v>74</v>
      </c>
      <c r="E171" s="28" t="s">
        <v>457</v>
      </c>
      <c r="F171" s="28" t="s">
        <v>75</v>
      </c>
      <c r="G171" s="28">
        <v>16188</v>
      </c>
      <c r="H171" s="28">
        <v>8094</v>
      </c>
      <c r="I171" s="28">
        <v>40</v>
      </c>
      <c r="J171" s="28">
        <v>26</v>
      </c>
      <c r="K171" s="28">
        <v>57</v>
      </c>
      <c r="L171" s="28">
        <v>3</v>
      </c>
      <c r="M171" s="28">
        <v>1</v>
      </c>
      <c r="N171" s="28" t="s">
        <v>22</v>
      </c>
      <c r="O171" s="28" t="s">
        <v>23</v>
      </c>
      <c r="P171" s="28" t="s">
        <v>23</v>
      </c>
      <c r="Q171" s="28">
        <v>6</v>
      </c>
      <c r="R171" s="28" t="s">
        <v>24</v>
      </c>
      <c r="S171" s="28">
        <v>500</v>
      </c>
    </row>
    <row r="172" spans="1:19" x14ac:dyDescent="0.3">
      <c r="A172" s="30" t="s">
        <v>286</v>
      </c>
      <c r="B172" s="27">
        <v>45372</v>
      </c>
      <c r="C172" s="26" t="s">
        <v>121</v>
      </c>
      <c r="D172" s="26" t="s">
        <v>20</v>
      </c>
      <c r="E172" s="26" t="s">
        <v>456</v>
      </c>
      <c r="F172" s="26" t="s">
        <v>109</v>
      </c>
      <c r="G172" s="26">
        <v>91924</v>
      </c>
      <c r="H172" s="26">
        <v>57526</v>
      </c>
      <c r="I172" s="26">
        <v>35</v>
      </c>
      <c r="J172" s="26">
        <v>89</v>
      </c>
      <c r="K172" s="26">
        <v>98</v>
      </c>
      <c r="L172" s="26">
        <v>1</v>
      </c>
      <c r="M172" s="26">
        <v>1</v>
      </c>
      <c r="N172" s="26" t="s">
        <v>22</v>
      </c>
      <c r="O172" s="26" t="s">
        <v>97</v>
      </c>
      <c r="P172" s="26" t="s">
        <v>98</v>
      </c>
      <c r="Q172" s="26">
        <v>5</v>
      </c>
      <c r="R172" s="26" t="s">
        <v>31</v>
      </c>
      <c r="S172" s="26">
        <v>0</v>
      </c>
    </row>
    <row r="173" spans="1:19" x14ac:dyDescent="0.3">
      <c r="A173" s="31" t="s">
        <v>287</v>
      </c>
      <c r="B173" s="29">
        <v>45573</v>
      </c>
      <c r="C173" s="28" t="s">
        <v>201</v>
      </c>
      <c r="D173" s="28" t="s">
        <v>27</v>
      </c>
      <c r="E173" s="28" t="s">
        <v>457</v>
      </c>
      <c r="F173" s="28" t="s">
        <v>202</v>
      </c>
      <c r="G173" s="28">
        <v>8580</v>
      </c>
      <c r="H173" s="28">
        <v>4080</v>
      </c>
      <c r="I173" s="28">
        <v>45</v>
      </c>
      <c r="J173" s="28">
        <v>25</v>
      </c>
      <c r="K173" s="28">
        <v>30</v>
      </c>
      <c r="L173" s="28">
        <v>1</v>
      </c>
      <c r="M173" s="28">
        <v>0</v>
      </c>
      <c r="N173" s="28" t="s">
        <v>36</v>
      </c>
      <c r="O173" s="28" t="s">
        <v>29</v>
      </c>
      <c r="P173" s="28" t="s">
        <v>30</v>
      </c>
      <c r="Q173" s="28">
        <v>7</v>
      </c>
      <c r="R173" s="28" t="s">
        <v>31</v>
      </c>
      <c r="S173" s="28">
        <v>500</v>
      </c>
    </row>
    <row r="174" spans="1:19" x14ac:dyDescent="0.3">
      <c r="A174" s="30" t="s">
        <v>288</v>
      </c>
      <c r="B174" s="27">
        <v>45393</v>
      </c>
      <c r="C174" s="26" t="s">
        <v>67</v>
      </c>
      <c r="D174" s="26" t="s">
        <v>20</v>
      </c>
      <c r="E174" s="26" t="s">
        <v>456</v>
      </c>
      <c r="F174" s="26" t="s">
        <v>68</v>
      </c>
      <c r="G174" s="26">
        <v>131803</v>
      </c>
      <c r="H174" s="26">
        <v>63574</v>
      </c>
      <c r="I174" s="26">
        <v>60</v>
      </c>
      <c r="J174" s="26">
        <v>88</v>
      </c>
      <c r="K174" s="26">
        <v>133</v>
      </c>
      <c r="L174" s="26">
        <v>5</v>
      </c>
      <c r="M174" s="26">
        <v>4</v>
      </c>
      <c r="N174" s="26" t="s">
        <v>22</v>
      </c>
      <c r="O174" s="26" t="s">
        <v>444</v>
      </c>
      <c r="P174" s="26" t="s">
        <v>37</v>
      </c>
      <c r="Q174" s="26">
        <v>6</v>
      </c>
      <c r="R174" s="26" t="s">
        <v>31</v>
      </c>
      <c r="S174" s="26">
        <v>1000</v>
      </c>
    </row>
    <row r="175" spans="1:19" x14ac:dyDescent="0.3">
      <c r="A175" s="31" t="s">
        <v>289</v>
      </c>
      <c r="B175" s="29">
        <v>45387</v>
      </c>
      <c r="C175" s="28" t="s">
        <v>127</v>
      </c>
      <c r="D175" s="28" t="s">
        <v>61</v>
      </c>
      <c r="E175" s="28" t="s">
        <v>456</v>
      </c>
      <c r="F175" s="28" t="s">
        <v>128</v>
      </c>
      <c r="G175" s="28">
        <v>63812</v>
      </c>
      <c r="H175" s="28">
        <v>42828</v>
      </c>
      <c r="I175" s="28">
        <v>35</v>
      </c>
      <c r="J175" s="28">
        <v>46</v>
      </c>
      <c r="K175" s="28">
        <v>172</v>
      </c>
      <c r="L175" s="28">
        <v>20</v>
      </c>
      <c r="M175" s="28">
        <v>4</v>
      </c>
      <c r="N175" s="28" t="s">
        <v>22</v>
      </c>
      <c r="O175" s="28" t="s">
        <v>444</v>
      </c>
      <c r="P175" s="28" t="s">
        <v>37</v>
      </c>
      <c r="Q175" s="28">
        <v>3</v>
      </c>
      <c r="R175" s="28" t="s">
        <v>31</v>
      </c>
      <c r="S175" s="28">
        <v>1000</v>
      </c>
    </row>
    <row r="176" spans="1:19" x14ac:dyDescent="0.3">
      <c r="A176" s="30" t="s">
        <v>290</v>
      </c>
      <c r="B176" s="27">
        <v>45621</v>
      </c>
      <c r="C176" s="26" t="s">
        <v>179</v>
      </c>
      <c r="D176" s="26" t="s">
        <v>61</v>
      </c>
      <c r="E176" s="26" t="s">
        <v>456</v>
      </c>
      <c r="F176" s="26" t="s">
        <v>180</v>
      </c>
      <c r="G176" s="26">
        <v>120564</v>
      </c>
      <c r="H176" s="26">
        <v>84119</v>
      </c>
      <c r="I176" s="26">
        <v>35</v>
      </c>
      <c r="J176" s="26">
        <v>91</v>
      </c>
      <c r="K176" s="26">
        <v>197</v>
      </c>
      <c r="L176" s="26">
        <v>15</v>
      </c>
      <c r="M176" s="26">
        <v>8</v>
      </c>
      <c r="N176" s="26" t="s">
        <v>22</v>
      </c>
      <c r="O176" s="26" t="s">
        <v>51</v>
      </c>
      <c r="P176" s="26" t="s">
        <v>52</v>
      </c>
      <c r="Q176" s="26">
        <v>7</v>
      </c>
      <c r="R176" s="26" t="s">
        <v>31</v>
      </c>
      <c r="S176" s="26">
        <v>500</v>
      </c>
    </row>
    <row r="177" spans="1:19" x14ac:dyDescent="0.3">
      <c r="A177" s="31" t="s">
        <v>291</v>
      </c>
      <c r="B177" s="29">
        <v>45455</v>
      </c>
      <c r="C177" s="28" t="s">
        <v>139</v>
      </c>
      <c r="D177" s="28" t="s">
        <v>20</v>
      </c>
      <c r="E177" s="28" t="s">
        <v>457</v>
      </c>
      <c r="F177" s="28" t="s">
        <v>140</v>
      </c>
      <c r="G177" s="28">
        <v>106110</v>
      </c>
      <c r="H177" s="28">
        <v>71550</v>
      </c>
      <c r="I177" s="28">
        <v>55</v>
      </c>
      <c r="J177" s="28">
        <v>66</v>
      </c>
      <c r="K177" s="28">
        <v>135</v>
      </c>
      <c r="L177" s="28">
        <v>11</v>
      </c>
      <c r="M177" s="28">
        <v>6</v>
      </c>
      <c r="N177" s="28" t="s">
        <v>41</v>
      </c>
      <c r="O177" s="28" t="s">
        <v>29</v>
      </c>
      <c r="P177" s="28" t="s">
        <v>30</v>
      </c>
      <c r="Q177" s="28">
        <v>4</v>
      </c>
      <c r="R177" s="28" t="s">
        <v>31</v>
      </c>
      <c r="S177" s="28">
        <v>100</v>
      </c>
    </row>
    <row r="178" spans="1:19" x14ac:dyDescent="0.3">
      <c r="A178" s="30" t="s">
        <v>292</v>
      </c>
      <c r="B178" s="27">
        <v>45586</v>
      </c>
      <c r="C178" s="26" t="s">
        <v>188</v>
      </c>
      <c r="D178" s="26" t="s">
        <v>61</v>
      </c>
      <c r="E178" s="26" t="s">
        <v>456</v>
      </c>
      <c r="F178" s="26" t="s">
        <v>189</v>
      </c>
      <c r="G178" s="26">
        <v>84660</v>
      </c>
      <c r="H178" s="26">
        <v>55942</v>
      </c>
      <c r="I178" s="26">
        <v>45</v>
      </c>
      <c r="J178" s="26">
        <v>47</v>
      </c>
      <c r="K178" s="26">
        <v>166</v>
      </c>
      <c r="L178" s="26">
        <v>11</v>
      </c>
      <c r="M178" s="26">
        <v>0</v>
      </c>
      <c r="N178" s="26" t="s">
        <v>22</v>
      </c>
      <c r="O178" s="26" t="s">
        <v>51</v>
      </c>
      <c r="P178" s="26" t="s">
        <v>52</v>
      </c>
      <c r="Q178" s="26">
        <v>4</v>
      </c>
      <c r="R178" s="26" t="s">
        <v>31</v>
      </c>
      <c r="S178" s="26">
        <v>100</v>
      </c>
    </row>
    <row r="179" spans="1:19" x14ac:dyDescent="0.3">
      <c r="A179" s="31" t="s">
        <v>293</v>
      </c>
      <c r="B179" s="29">
        <v>45311</v>
      </c>
      <c r="C179" s="28" t="s">
        <v>241</v>
      </c>
      <c r="D179" s="28" t="s">
        <v>74</v>
      </c>
      <c r="E179" s="28" t="s">
        <v>457</v>
      </c>
      <c r="F179" s="28" t="s">
        <v>242</v>
      </c>
      <c r="G179" s="28">
        <v>2535</v>
      </c>
      <c r="H179" s="28">
        <v>1515</v>
      </c>
      <c r="I179" s="28">
        <v>35</v>
      </c>
      <c r="J179" s="28">
        <v>20</v>
      </c>
      <c r="K179" s="28">
        <v>15</v>
      </c>
      <c r="L179" s="28">
        <v>0</v>
      </c>
      <c r="M179" s="28">
        <v>0</v>
      </c>
      <c r="N179" s="28" t="s">
        <v>22</v>
      </c>
      <c r="O179" s="28" t="s">
        <v>444</v>
      </c>
      <c r="P179" s="28" t="s">
        <v>37</v>
      </c>
      <c r="Q179" s="28">
        <v>3</v>
      </c>
      <c r="R179" s="28" t="s">
        <v>31</v>
      </c>
      <c r="S179" s="28">
        <v>500</v>
      </c>
    </row>
    <row r="180" spans="1:19" x14ac:dyDescent="0.3">
      <c r="A180" s="30" t="s">
        <v>294</v>
      </c>
      <c r="B180" s="27">
        <v>45478</v>
      </c>
      <c r="C180" s="26" t="s">
        <v>54</v>
      </c>
      <c r="D180" s="26" t="s">
        <v>27</v>
      </c>
      <c r="E180" s="26" t="s">
        <v>456</v>
      </c>
      <c r="F180" s="26" t="s">
        <v>55</v>
      </c>
      <c r="G180" s="26">
        <v>19392</v>
      </c>
      <c r="H180" s="26">
        <v>13332</v>
      </c>
      <c r="I180" s="26">
        <v>70</v>
      </c>
      <c r="J180" s="26">
        <v>23</v>
      </c>
      <c r="K180" s="26">
        <v>101</v>
      </c>
      <c r="L180" s="26">
        <v>5</v>
      </c>
      <c r="M180" s="26">
        <v>1</v>
      </c>
      <c r="N180" s="26" t="s">
        <v>22</v>
      </c>
      <c r="O180" s="26" t="s">
        <v>446</v>
      </c>
      <c r="P180" s="26" t="s">
        <v>103</v>
      </c>
      <c r="Q180" s="26">
        <v>4</v>
      </c>
      <c r="R180" s="26" t="s">
        <v>31</v>
      </c>
      <c r="S180" s="26">
        <v>1000</v>
      </c>
    </row>
    <row r="181" spans="1:19" x14ac:dyDescent="0.3">
      <c r="A181" s="31" t="s">
        <v>295</v>
      </c>
      <c r="B181" s="29">
        <v>45632</v>
      </c>
      <c r="C181" s="28" t="s">
        <v>188</v>
      </c>
      <c r="D181" s="28" t="s">
        <v>61</v>
      </c>
      <c r="E181" s="28" t="s">
        <v>457</v>
      </c>
      <c r="F181" s="28" t="s">
        <v>189</v>
      </c>
      <c r="G181" s="28">
        <v>14685</v>
      </c>
      <c r="H181" s="28">
        <v>7995</v>
      </c>
      <c r="I181" s="28">
        <v>55</v>
      </c>
      <c r="J181" s="28">
        <v>87</v>
      </c>
      <c r="K181" s="28">
        <v>15</v>
      </c>
      <c r="L181" s="28">
        <v>1</v>
      </c>
      <c r="M181" s="28">
        <v>0</v>
      </c>
      <c r="N181" s="28" t="s">
        <v>41</v>
      </c>
      <c r="O181" s="28" t="s">
        <v>51</v>
      </c>
      <c r="P181" s="28" t="s">
        <v>52</v>
      </c>
      <c r="Q181" s="28">
        <v>3</v>
      </c>
      <c r="R181" s="28" t="s">
        <v>31</v>
      </c>
      <c r="S181" s="28">
        <v>200</v>
      </c>
    </row>
    <row r="182" spans="1:19" x14ac:dyDescent="0.3">
      <c r="A182" s="30" t="s">
        <v>296</v>
      </c>
      <c r="B182" s="27">
        <v>45469</v>
      </c>
      <c r="C182" s="26" t="s">
        <v>60</v>
      </c>
      <c r="D182" s="26" t="s">
        <v>61</v>
      </c>
      <c r="E182" s="26" t="s">
        <v>456</v>
      </c>
      <c r="F182" s="26" t="s">
        <v>62</v>
      </c>
      <c r="G182" s="26">
        <v>77004</v>
      </c>
      <c r="H182" s="26">
        <v>51708</v>
      </c>
      <c r="I182" s="26">
        <v>40</v>
      </c>
      <c r="J182" s="26">
        <v>57</v>
      </c>
      <c r="K182" s="26">
        <v>186</v>
      </c>
      <c r="L182" s="26">
        <v>10</v>
      </c>
      <c r="M182" s="26">
        <v>7</v>
      </c>
      <c r="N182" s="26" t="s">
        <v>36</v>
      </c>
      <c r="O182" s="26" t="s">
        <v>23</v>
      </c>
      <c r="P182" s="26" t="s">
        <v>23</v>
      </c>
      <c r="Q182" s="26">
        <v>8</v>
      </c>
      <c r="R182" s="26" t="s">
        <v>31</v>
      </c>
      <c r="S182" s="26">
        <v>200</v>
      </c>
    </row>
    <row r="183" spans="1:19" x14ac:dyDescent="0.3">
      <c r="A183" s="31" t="s">
        <v>297</v>
      </c>
      <c r="B183" s="29">
        <v>45316</v>
      </c>
      <c r="C183" s="28" t="s">
        <v>108</v>
      </c>
      <c r="D183" s="28" t="s">
        <v>20</v>
      </c>
      <c r="E183" s="28" t="s">
        <v>457</v>
      </c>
      <c r="F183" s="28" t="s">
        <v>109</v>
      </c>
      <c r="G183" s="28">
        <v>74307</v>
      </c>
      <c r="H183" s="28">
        <v>41172</v>
      </c>
      <c r="I183" s="28">
        <v>45</v>
      </c>
      <c r="J183" s="28">
        <v>75</v>
      </c>
      <c r="K183" s="28">
        <v>141</v>
      </c>
      <c r="L183" s="28">
        <v>11</v>
      </c>
      <c r="M183" s="28">
        <v>6</v>
      </c>
      <c r="N183" s="28" t="s">
        <v>22</v>
      </c>
      <c r="O183" s="28" t="s">
        <v>147</v>
      </c>
      <c r="P183" s="28" t="s">
        <v>148</v>
      </c>
      <c r="Q183" s="28">
        <v>6</v>
      </c>
      <c r="R183" s="28" t="s">
        <v>31</v>
      </c>
      <c r="S183" s="28">
        <v>200</v>
      </c>
    </row>
    <row r="184" spans="1:19" x14ac:dyDescent="0.3">
      <c r="A184" s="30" t="s">
        <v>298</v>
      </c>
      <c r="B184" s="27">
        <v>45425</v>
      </c>
      <c r="C184" s="26" t="s">
        <v>44</v>
      </c>
      <c r="D184" s="26" t="s">
        <v>45</v>
      </c>
      <c r="E184" s="26" t="s">
        <v>456</v>
      </c>
      <c r="F184" s="26" t="s">
        <v>46</v>
      </c>
      <c r="G184" s="26">
        <v>5780</v>
      </c>
      <c r="H184" s="26">
        <v>2856</v>
      </c>
      <c r="I184" s="26">
        <v>70</v>
      </c>
      <c r="J184" s="26">
        <v>16</v>
      </c>
      <c r="K184" s="26">
        <v>34</v>
      </c>
      <c r="L184" s="26">
        <v>0</v>
      </c>
      <c r="M184" s="26">
        <v>1</v>
      </c>
      <c r="N184" s="26" t="s">
        <v>22</v>
      </c>
      <c r="O184" s="26" t="s">
        <v>70</v>
      </c>
      <c r="P184" s="26" t="s">
        <v>71</v>
      </c>
      <c r="Q184" s="26">
        <v>8</v>
      </c>
      <c r="R184" s="26" t="s">
        <v>31</v>
      </c>
      <c r="S184" s="26">
        <v>0</v>
      </c>
    </row>
    <row r="185" spans="1:19" x14ac:dyDescent="0.3">
      <c r="A185" s="31" t="s">
        <v>299</v>
      </c>
      <c r="B185" s="29">
        <v>45343</v>
      </c>
      <c r="C185" s="28" t="s">
        <v>80</v>
      </c>
      <c r="D185" s="28" t="s">
        <v>20</v>
      </c>
      <c r="E185" s="28" t="s">
        <v>457</v>
      </c>
      <c r="F185" s="28" t="s">
        <v>81</v>
      </c>
      <c r="G185" s="28">
        <v>38220</v>
      </c>
      <c r="H185" s="28">
        <v>19019</v>
      </c>
      <c r="I185" s="28">
        <v>55</v>
      </c>
      <c r="J185" s="28">
        <v>53</v>
      </c>
      <c r="K185" s="28">
        <v>91</v>
      </c>
      <c r="L185" s="28">
        <v>1</v>
      </c>
      <c r="M185" s="28">
        <v>0</v>
      </c>
      <c r="N185" s="28" t="s">
        <v>22</v>
      </c>
      <c r="O185" s="28" t="s">
        <v>444</v>
      </c>
      <c r="P185" s="28" t="s">
        <v>37</v>
      </c>
      <c r="Q185" s="28">
        <v>5</v>
      </c>
      <c r="R185" s="28" t="s">
        <v>31</v>
      </c>
      <c r="S185" s="28">
        <v>100</v>
      </c>
    </row>
    <row r="186" spans="1:19" x14ac:dyDescent="0.3">
      <c r="A186" s="30" t="s">
        <v>300</v>
      </c>
      <c r="B186" s="27">
        <v>45394</v>
      </c>
      <c r="C186" s="26" t="s">
        <v>124</v>
      </c>
      <c r="D186" s="26" t="s">
        <v>74</v>
      </c>
      <c r="E186" s="26" t="s">
        <v>456</v>
      </c>
      <c r="F186" s="26" t="s">
        <v>125</v>
      </c>
      <c r="G186" s="26">
        <v>22576</v>
      </c>
      <c r="H186" s="26">
        <v>11152</v>
      </c>
      <c r="I186" s="26">
        <v>55</v>
      </c>
      <c r="J186" s="26">
        <v>25</v>
      </c>
      <c r="K186" s="26">
        <v>136</v>
      </c>
      <c r="L186" s="26">
        <v>9</v>
      </c>
      <c r="M186" s="26">
        <v>6</v>
      </c>
      <c r="N186" s="26" t="s">
        <v>22</v>
      </c>
      <c r="O186" s="26" t="s">
        <v>97</v>
      </c>
      <c r="P186" s="26" t="s">
        <v>98</v>
      </c>
      <c r="Q186" s="26">
        <v>3</v>
      </c>
      <c r="R186" s="26" t="s">
        <v>31</v>
      </c>
      <c r="S186" s="26">
        <v>1000</v>
      </c>
    </row>
    <row r="187" spans="1:19" x14ac:dyDescent="0.3">
      <c r="A187" s="31" t="s">
        <v>301</v>
      </c>
      <c r="B187" s="29">
        <v>45487</v>
      </c>
      <c r="C187" s="28" t="s">
        <v>159</v>
      </c>
      <c r="D187" s="28" t="s">
        <v>45</v>
      </c>
      <c r="E187" s="28" t="s">
        <v>456</v>
      </c>
      <c r="F187" s="28" t="s">
        <v>160</v>
      </c>
      <c r="G187" s="28">
        <v>30024</v>
      </c>
      <c r="H187" s="28">
        <v>13824</v>
      </c>
      <c r="I187" s="28">
        <v>80</v>
      </c>
      <c r="J187" s="28">
        <v>47</v>
      </c>
      <c r="K187" s="28">
        <v>72</v>
      </c>
      <c r="L187" s="28">
        <v>0</v>
      </c>
      <c r="M187" s="28">
        <v>1</v>
      </c>
      <c r="N187" s="28" t="s">
        <v>22</v>
      </c>
      <c r="O187" s="28" t="s">
        <v>446</v>
      </c>
      <c r="P187" s="28" t="s">
        <v>103</v>
      </c>
      <c r="Q187" s="28">
        <v>7</v>
      </c>
      <c r="R187" s="28" t="s">
        <v>24</v>
      </c>
      <c r="S187" s="28">
        <v>0</v>
      </c>
    </row>
    <row r="188" spans="1:19" x14ac:dyDescent="0.3">
      <c r="A188" s="30" t="s">
        <v>302</v>
      </c>
      <c r="B188" s="27">
        <v>45559</v>
      </c>
      <c r="C188" s="26" t="s">
        <v>105</v>
      </c>
      <c r="D188" s="26" t="s">
        <v>49</v>
      </c>
      <c r="E188" s="26" t="s">
        <v>457</v>
      </c>
      <c r="F188" s="26" t="s">
        <v>106</v>
      </c>
      <c r="G188" s="26">
        <v>47400</v>
      </c>
      <c r="H188" s="26">
        <v>29475</v>
      </c>
      <c r="I188" s="26">
        <v>80</v>
      </c>
      <c r="J188" s="26">
        <v>76</v>
      </c>
      <c r="K188" s="26">
        <v>75</v>
      </c>
      <c r="L188" s="26">
        <v>4</v>
      </c>
      <c r="M188" s="26">
        <v>0</v>
      </c>
      <c r="N188" s="26" t="s">
        <v>41</v>
      </c>
      <c r="O188" s="26" t="s">
        <v>29</v>
      </c>
      <c r="P188" s="26" t="s">
        <v>30</v>
      </c>
      <c r="Q188" s="26">
        <v>6</v>
      </c>
      <c r="R188" s="26" t="s">
        <v>24</v>
      </c>
      <c r="S188" s="26">
        <v>100</v>
      </c>
    </row>
    <row r="189" spans="1:19" x14ac:dyDescent="0.3">
      <c r="A189" s="31" t="s">
        <v>303</v>
      </c>
      <c r="B189" s="29">
        <v>45313</v>
      </c>
      <c r="C189" s="28" t="s">
        <v>113</v>
      </c>
      <c r="D189" s="28" t="s">
        <v>114</v>
      </c>
      <c r="E189" s="28" t="s">
        <v>457</v>
      </c>
      <c r="F189" s="28" t="s">
        <v>115</v>
      </c>
      <c r="G189" s="28">
        <v>79625</v>
      </c>
      <c r="H189" s="28">
        <v>49350</v>
      </c>
      <c r="I189" s="28">
        <v>50</v>
      </c>
      <c r="J189" s="28">
        <v>68</v>
      </c>
      <c r="K189" s="28">
        <v>175</v>
      </c>
      <c r="L189" s="28">
        <v>19</v>
      </c>
      <c r="M189" s="28">
        <v>4</v>
      </c>
      <c r="N189" s="28" t="s">
        <v>22</v>
      </c>
      <c r="O189" s="28" t="s">
        <v>70</v>
      </c>
      <c r="P189" s="28" t="s">
        <v>71</v>
      </c>
      <c r="Q189" s="28">
        <v>7</v>
      </c>
      <c r="R189" s="28" t="s">
        <v>24</v>
      </c>
      <c r="S189" s="28">
        <v>0</v>
      </c>
    </row>
    <row r="190" spans="1:19" x14ac:dyDescent="0.3">
      <c r="A190" s="30" t="s">
        <v>304</v>
      </c>
      <c r="B190" s="27">
        <v>45526</v>
      </c>
      <c r="C190" s="26" t="s">
        <v>54</v>
      </c>
      <c r="D190" s="26" t="s">
        <v>27</v>
      </c>
      <c r="E190" s="26" t="s">
        <v>456</v>
      </c>
      <c r="F190" s="26" t="s">
        <v>55</v>
      </c>
      <c r="G190" s="26">
        <v>7897</v>
      </c>
      <c r="H190" s="26">
        <v>4770</v>
      </c>
      <c r="I190" s="26">
        <v>70</v>
      </c>
      <c r="J190" s="26">
        <v>13</v>
      </c>
      <c r="K190" s="26">
        <v>53</v>
      </c>
      <c r="L190" s="26">
        <v>4</v>
      </c>
      <c r="M190" s="26">
        <v>2</v>
      </c>
      <c r="N190" s="26" t="s">
        <v>22</v>
      </c>
      <c r="O190" s="26" t="s">
        <v>51</v>
      </c>
      <c r="P190" s="26" t="s">
        <v>52</v>
      </c>
      <c r="Q190" s="26">
        <v>3</v>
      </c>
      <c r="R190" s="26" t="s">
        <v>24</v>
      </c>
      <c r="S190" s="26">
        <v>0</v>
      </c>
    </row>
    <row r="191" spans="1:19" x14ac:dyDescent="0.3">
      <c r="A191" s="31" t="s">
        <v>305</v>
      </c>
      <c r="B191" s="29">
        <v>45488</v>
      </c>
      <c r="C191" s="28" t="s">
        <v>33</v>
      </c>
      <c r="D191" s="28" t="s">
        <v>34</v>
      </c>
      <c r="E191" s="28" t="s">
        <v>457</v>
      </c>
      <c r="F191" s="28" t="s">
        <v>35</v>
      </c>
      <c r="G191" s="28">
        <v>118708</v>
      </c>
      <c r="H191" s="28">
        <v>71508</v>
      </c>
      <c r="I191" s="28">
        <v>35</v>
      </c>
      <c r="J191" s="28">
        <v>93</v>
      </c>
      <c r="K191" s="28">
        <v>118</v>
      </c>
      <c r="L191" s="28">
        <v>9</v>
      </c>
      <c r="M191" s="28">
        <v>4</v>
      </c>
      <c r="N191" s="28" t="s">
        <v>41</v>
      </c>
      <c r="O191" s="28" t="s">
        <v>70</v>
      </c>
      <c r="P191" s="28" t="s">
        <v>71</v>
      </c>
      <c r="Q191" s="28">
        <v>5</v>
      </c>
      <c r="R191" s="28" t="s">
        <v>31</v>
      </c>
      <c r="S191" s="28">
        <v>0</v>
      </c>
    </row>
    <row r="192" spans="1:19" x14ac:dyDescent="0.3">
      <c r="A192" s="30" t="s">
        <v>306</v>
      </c>
      <c r="B192" s="27">
        <v>45482</v>
      </c>
      <c r="C192" s="26" t="s">
        <v>90</v>
      </c>
      <c r="D192" s="26" t="s">
        <v>34</v>
      </c>
      <c r="E192" s="26" t="s">
        <v>456</v>
      </c>
      <c r="F192" s="26" t="s">
        <v>91</v>
      </c>
      <c r="G192" s="26">
        <v>17640</v>
      </c>
      <c r="H192" s="26">
        <v>11480</v>
      </c>
      <c r="I192" s="26">
        <v>55</v>
      </c>
      <c r="J192" s="26">
        <v>13</v>
      </c>
      <c r="K192" s="26">
        <v>140</v>
      </c>
      <c r="L192" s="26">
        <v>7</v>
      </c>
      <c r="M192" s="26">
        <v>2</v>
      </c>
      <c r="N192" s="26" t="s">
        <v>22</v>
      </c>
      <c r="O192" s="26" t="s">
        <v>97</v>
      </c>
      <c r="P192" s="26" t="s">
        <v>98</v>
      </c>
      <c r="Q192" s="26">
        <v>8</v>
      </c>
      <c r="R192" s="26" t="s">
        <v>31</v>
      </c>
      <c r="S192" s="26">
        <v>500</v>
      </c>
    </row>
    <row r="193" spans="1:19" x14ac:dyDescent="0.3">
      <c r="A193" s="31" t="s">
        <v>307</v>
      </c>
      <c r="B193" s="29">
        <v>45400</v>
      </c>
      <c r="C193" s="28" t="s">
        <v>73</v>
      </c>
      <c r="D193" s="28" t="s">
        <v>74</v>
      </c>
      <c r="E193" s="26" t="s">
        <v>456</v>
      </c>
      <c r="F193" s="28" t="s">
        <v>75</v>
      </c>
      <c r="G193" s="28">
        <v>85702</v>
      </c>
      <c r="H193" s="28">
        <v>54896</v>
      </c>
      <c r="I193" s="28">
        <v>60</v>
      </c>
      <c r="J193" s="28">
        <v>81</v>
      </c>
      <c r="K193" s="28">
        <v>146</v>
      </c>
      <c r="L193" s="28">
        <v>2</v>
      </c>
      <c r="M193" s="28">
        <v>4</v>
      </c>
      <c r="N193" s="28" t="s">
        <v>41</v>
      </c>
      <c r="O193" s="28" t="s">
        <v>447</v>
      </c>
      <c r="P193" s="28" t="s">
        <v>63</v>
      </c>
      <c r="Q193" s="28">
        <v>7</v>
      </c>
      <c r="R193" s="28" t="s">
        <v>31</v>
      </c>
      <c r="S193" s="28">
        <v>100</v>
      </c>
    </row>
    <row r="194" spans="1:19" x14ac:dyDescent="0.3">
      <c r="A194" s="30" t="s">
        <v>308</v>
      </c>
      <c r="B194" s="27">
        <v>45419</v>
      </c>
      <c r="C194" s="26" t="s">
        <v>80</v>
      </c>
      <c r="D194" s="26" t="s">
        <v>20</v>
      </c>
      <c r="E194" s="28" t="s">
        <v>457</v>
      </c>
      <c r="F194" s="26" t="s">
        <v>81</v>
      </c>
      <c r="G194" s="26">
        <v>17556</v>
      </c>
      <c r="H194" s="26">
        <v>11970</v>
      </c>
      <c r="I194" s="26">
        <v>50</v>
      </c>
      <c r="J194" s="26">
        <v>13</v>
      </c>
      <c r="K194" s="26">
        <v>133</v>
      </c>
      <c r="L194" s="26">
        <v>12</v>
      </c>
      <c r="M194" s="26">
        <v>5</v>
      </c>
      <c r="N194" s="26" t="s">
        <v>22</v>
      </c>
      <c r="O194" s="26" t="s">
        <v>446</v>
      </c>
      <c r="P194" s="26" t="s">
        <v>103</v>
      </c>
      <c r="Q194" s="26">
        <v>6</v>
      </c>
      <c r="R194" s="26" t="s">
        <v>24</v>
      </c>
      <c r="S194" s="26">
        <v>200</v>
      </c>
    </row>
    <row r="195" spans="1:19" x14ac:dyDescent="0.3">
      <c r="A195" s="31" t="s">
        <v>309</v>
      </c>
      <c r="B195" s="29">
        <v>45471</v>
      </c>
      <c r="C195" s="28" t="s">
        <v>201</v>
      </c>
      <c r="D195" s="28" t="s">
        <v>27</v>
      </c>
      <c r="E195" s="26" t="s">
        <v>456</v>
      </c>
      <c r="F195" s="28" t="s">
        <v>202</v>
      </c>
      <c r="G195" s="28">
        <v>46669</v>
      </c>
      <c r="H195" s="28">
        <v>31414</v>
      </c>
      <c r="I195" s="28">
        <v>40</v>
      </c>
      <c r="J195" s="28">
        <v>41</v>
      </c>
      <c r="K195" s="28">
        <v>113</v>
      </c>
      <c r="L195" s="28">
        <v>2</v>
      </c>
      <c r="M195" s="28">
        <v>4</v>
      </c>
      <c r="N195" s="28" t="s">
        <v>36</v>
      </c>
      <c r="O195" s="28" t="s">
        <v>23</v>
      </c>
      <c r="P195" s="28" t="s">
        <v>23</v>
      </c>
      <c r="Q195" s="28">
        <v>8</v>
      </c>
      <c r="R195" s="28" t="s">
        <v>31</v>
      </c>
      <c r="S195" s="28">
        <v>200</v>
      </c>
    </row>
    <row r="196" spans="1:19" x14ac:dyDescent="0.3">
      <c r="A196" s="30" t="s">
        <v>310</v>
      </c>
      <c r="B196" s="27">
        <v>45534</v>
      </c>
      <c r="C196" s="26" t="s">
        <v>108</v>
      </c>
      <c r="D196" s="26" t="s">
        <v>20</v>
      </c>
      <c r="E196" s="28" t="s">
        <v>457</v>
      </c>
      <c r="F196" s="26" t="s">
        <v>109</v>
      </c>
      <c r="G196" s="26">
        <v>48280</v>
      </c>
      <c r="H196" s="26">
        <v>28900</v>
      </c>
      <c r="I196" s="26">
        <v>35</v>
      </c>
      <c r="J196" s="26">
        <v>27</v>
      </c>
      <c r="K196" s="26">
        <v>170</v>
      </c>
      <c r="L196" s="26">
        <v>20</v>
      </c>
      <c r="M196" s="26">
        <v>4</v>
      </c>
      <c r="N196" s="26" t="s">
        <v>22</v>
      </c>
      <c r="O196" s="26" t="s">
        <v>445</v>
      </c>
      <c r="P196" s="26" t="s">
        <v>42</v>
      </c>
      <c r="Q196" s="26">
        <v>5</v>
      </c>
      <c r="R196" s="26" t="s">
        <v>31</v>
      </c>
      <c r="S196" s="26">
        <v>500</v>
      </c>
    </row>
    <row r="197" spans="1:19" x14ac:dyDescent="0.3">
      <c r="A197" s="31" t="s">
        <v>311</v>
      </c>
      <c r="B197" s="29">
        <v>45295</v>
      </c>
      <c r="C197" s="28" t="s">
        <v>39</v>
      </c>
      <c r="D197" s="28" t="s">
        <v>20</v>
      </c>
      <c r="E197" s="26" t="s">
        <v>456</v>
      </c>
      <c r="F197" s="28" t="s">
        <v>40</v>
      </c>
      <c r="G197" s="28">
        <v>133433</v>
      </c>
      <c r="H197" s="28">
        <v>92351</v>
      </c>
      <c r="I197" s="28">
        <v>60</v>
      </c>
      <c r="J197" s="28">
        <v>95</v>
      </c>
      <c r="K197" s="28">
        <v>167</v>
      </c>
      <c r="L197" s="28">
        <v>9</v>
      </c>
      <c r="M197" s="28">
        <v>4</v>
      </c>
      <c r="N197" s="28" t="s">
        <v>41</v>
      </c>
      <c r="O197" s="28" t="s">
        <v>29</v>
      </c>
      <c r="P197" s="28" t="s">
        <v>30</v>
      </c>
      <c r="Q197" s="28">
        <v>5</v>
      </c>
      <c r="R197" s="28" t="s">
        <v>24</v>
      </c>
      <c r="S197" s="28">
        <v>1000</v>
      </c>
    </row>
    <row r="198" spans="1:19" x14ac:dyDescent="0.3">
      <c r="A198" s="30" t="s">
        <v>312</v>
      </c>
      <c r="B198" s="27">
        <v>45627</v>
      </c>
      <c r="C198" s="26" t="s">
        <v>33</v>
      </c>
      <c r="D198" s="26" t="s">
        <v>34</v>
      </c>
      <c r="E198" s="28" t="s">
        <v>457</v>
      </c>
      <c r="F198" s="26" t="s">
        <v>35</v>
      </c>
      <c r="G198" s="26">
        <v>157248</v>
      </c>
      <c r="H198" s="26">
        <v>76608</v>
      </c>
      <c r="I198" s="26">
        <v>50</v>
      </c>
      <c r="J198" s="26">
        <v>134</v>
      </c>
      <c r="K198" s="26">
        <v>168</v>
      </c>
      <c r="L198" s="26">
        <v>10</v>
      </c>
      <c r="M198" s="26">
        <v>2</v>
      </c>
      <c r="N198" s="26" t="s">
        <v>22</v>
      </c>
      <c r="O198" s="26" t="s">
        <v>97</v>
      </c>
      <c r="P198" s="26" t="s">
        <v>98</v>
      </c>
      <c r="Q198" s="26">
        <v>5</v>
      </c>
      <c r="R198" s="26" t="s">
        <v>24</v>
      </c>
      <c r="S198" s="26">
        <v>1000</v>
      </c>
    </row>
    <row r="199" spans="1:19" x14ac:dyDescent="0.3">
      <c r="A199" s="31" t="s">
        <v>313</v>
      </c>
      <c r="B199" s="29">
        <v>45467</v>
      </c>
      <c r="C199" s="28" t="s">
        <v>179</v>
      </c>
      <c r="D199" s="28" t="s">
        <v>61</v>
      </c>
      <c r="E199" s="26" t="s">
        <v>456</v>
      </c>
      <c r="F199" s="28" t="s">
        <v>180</v>
      </c>
      <c r="G199" s="28">
        <v>66960</v>
      </c>
      <c r="H199" s="28">
        <v>40734</v>
      </c>
      <c r="I199" s="28">
        <v>80</v>
      </c>
      <c r="J199" s="28">
        <v>52</v>
      </c>
      <c r="K199" s="28">
        <v>186</v>
      </c>
      <c r="L199" s="28">
        <v>16</v>
      </c>
      <c r="M199" s="28">
        <v>4</v>
      </c>
      <c r="N199" s="28" t="s">
        <v>41</v>
      </c>
      <c r="O199" s="28" t="s">
        <v>97</v>
      </c>
      <c r="P199" s="28" t="s">
        <v>98</v>
      </c>
      <c r="Q199" s="28">
        <v>3</v>
      </c>
      <c r="R199" s="28" t="s">
        <v>31</v>
      </c>
      <c r="S199" s="28">
        <v>100</v>
      </c>
    </row>
    <row r="200" spans="1:19" x14ac:dyDescent="0.3">
      <c r="A200" s="30" t="s">
        <v>314</v>
      </c>
      <c r="B200" s="27">
        <v>45627</v>
      </c>
      <c r="C200" s="26" t="s">
        <v>223</v>
      </c>
      <c r="D200" s="26" t="s">
        <v>45</v>
      </c>
      <c r="E200" s="28" t="s">
        <v>457</v>
      </c>
      <c r="F200" s="26" t="s">
        <v>224</v>
      </c>
      <c r="G200" s="26">
        <v>17919</v>
      </c>
      <c r="H200" s="26">
        <v>9108</v>
      </c>
      <c r="I200" s="26">
        <v>55</v>
      </c>
      <c r="J200" s="26">
        <v>20</v>
      </c>
      <c r="K200" s="26">
        <v>99</v>
      </c>
      <c r="L200" s="26">
        <v>4</v>
      </c>
      <c r="M200" s="26">
        <v>4</v>
      </c>
      <c r="N200" s="26" t="s">
        <v>22</v>
      </c>
      <c r="O200" s="26" t="s">
        <v>445</v>
      </c>
      <c r="P200" s="26" t="s">
        <v>42</v>
      </c>
      <c r="Q200" s="26">
        <v>3</v>
      </c>
      <c r="R200" s="26" t="s">
        <v>31</v>
      </c>
      <c r="S200" s="26">
        <v>0</v>
      </c>
    </row>
    <row r="201" spans="1:19" x14ac:dyDescent="0.3">
      <c r="A201" s="31" t="s">
        <v>315</v>
      </c>
      <c r="B201" s="29">
        <v>45391</v>
      </c>
      <c r="C201" s="28" t="s">
        <v>124</v>
      </c>
      <c r="D201" s="28" t="s">
        <v>74</v>
      </c>
      <c r="E201" s="26" t="s">
        <v>456</v>
      </c>
      <c r="F201" s="28" t="s">
        <v>125</v>
      </c>
      <c r="G201" s="28">
        <v>30687</v>
      </c>
      <c r="H201" s="28">
        <v>19027</v>
      </c>
      <c r="I201" s="28">
        <v>55</v>
      </c>
      <c r="J201" s="28">
        <v>63</v>
      </c>
      <c r="K201" s="28">
        <v>53</v>
      </c>
      <c r="L201" s="28">
        <v>1</v>
      </c>
      <c r="M201" s="28">
        <v>1</v>
      </c>
      <c r="N201" s="28" t="s">
        <v>22</v>
      </c>
      <c r="O201" s="28" t="s">
        <v>446</v>
      </c>
      <c r="P201" s="28" t="s">
        <v>103</v>
      </c>
      <c r="Q201" s="28">
        <v>8</v>
      </c>
      <c r="R201" s="28" t="s">
        <v>31</v>
      </c>
      <c r="S201" s="28">
        <v>100</v>
      </c>
    </row>
    <row r="202" spans="1:19" x14ac:dyDescent="0.3">
      <c r="A202" s="30" t="s">
        <v>316</v>
      </c>
      <c r="B202" s="27">
        <v>45452</v>
      </c>
      <c r="C202" s="26" t="s">
        <v>279</v>
      </c>
      <c r="D202" s="26" t="s">
        <v>114</v>
      </c>
      <c r="E202" s="28" t="s">
        <v>457</v>
      </c>
      <c r="F202" s="26" t="s">
        <v>280</v>
      </c>
      <c r="G202" s="26">
        <v>49068</v>
      </c>
      <c r="H202" s="26">
        <v>27608</v>
      </c>
      <c r="I202" s="26">
        <v>50</v>
      </c>
      <c r="J202" s="26">
        <v>113</v>
      </c>
      <c r="K202" s="26">
        <v>58</v>
      </c>
      <c r="L202" s="26">
        <v>6</v>
      </c>
      <c r="M202" s="26">
        <v>0</v>
      </c>
      <c r="N202" s="26" t="s">
        <v>22</v>
      </c>
      <c r="O202" s="26" t="s">
        <v>51</v>
      </c>
      <c r="P202" s="26" t="s">
        <v>52</v>
      </c>
      <c r="Q202" s="26">
        <v>6</v>
      </c>
      <c r="R202" s="26" t="s">
        <v>24</v>
      </c>
      <c r="S202" s="26">
        <v>100</v>
      </c>
    </row>
    <row r="203" spans="1:19" x14ac:dyDescent="0.3">
      <c r="A203" s="31" t="s">
        <v>317</v>
      </c>
      <c r="B203" s="29">
        <v>45488</v>
      </c>
      <c r="C203" s="28" t="s">
        <v>124</v>
      </c>
      <c r="D203" s="28" t="s">
        <v>74</v>
      </c>
      <c r="E203" s="26" t="s">
        <v>456</v>
      </c>
      <c r="F203" s="28" t="s">
        <v>125</v>
      </c>
      <c r="G203" s="28">
        <v>10767</v>
      </c>
      <c r="H203" s="28">
        <v>5335</v>
      </c>
      <c r="I203" s="28">
        <v>60</v>
      </c>
      <c r="J203" s="28">
        <v>16</v>
      </c>
      <c r="K203" s="28">
        <v>97</v>
      </c>
      <c r="L203" s="28">
        <v>3</v>
      </c>
      <c r="M203" s="28">
        <v>0</v>
      </c>
      <c r="N203" s="28" t="s">
        <v>36</v>
      </c>
      <c r="O203" s="28" t="s">
        <v>23</v>
      </c>
      <c r="P203" s="28" t="s">
        <v>23</v>
      </c>
      <c r="Q203" s="28">
        <v>8</v>
      </c>
      <c r="R203" s="28" t="s">
        <v>24</v>
      </c>
      <c r="S203" s="28">
        <v>200</v>
      </c>
    </row>
    <row r="204" spans="1:19" x14ac:dyDescent="0.3">
      <c r="A204" s="30" t="s">
        <v>318</v>
      </c>
      <c r="B204" s="27">
        <v>45549</v>
      </c>
      <c r="C204" s="26" t="s">
        <v>105</v>
      </c>
      <c r="D204" s="26" t="s">
        <v>49</v>
      </c>
      <c r="E204" s="28" t="s">
        <v>456</v>
      </c>
      <c r="F204" s="26" t="s">
        <v>106</v>
      </c>
      <c r="G204" s="26">
        <v>72446</v>
      </c>
      <c r="H204" s="26">
        <v>33820</v>
      </c>
      <c r="I204" s="26">
        <v>35</v>
      </c>
      <c r="J204" s="26">
        <v>82</v>
      </c>
      <c r="K204" s="26">
        <v>89</v>
      </c>
      <c r="L204" s="26">
        <v>8</v>
      </c>
      <c r="M204" s="26">
        <v>4</v>
      </c>
      <c r="N204" s="26" t="s">
        <v>36</v>
      </c>
      <c r="O204" s="26" t="s">
        <v>147</v>
      </c>
      <c r="P204" s="26" t="s">
        <v>148</v>
      </c>
      <c r="Q204" s="26">
        <v>5</v>
      </c>
      <c r="R204" s="26" t="s">
        <v>31</v>
      </c>
      <c r="S204" s="26">
        <v>750</v>
      </c>
    </row>
    <row r="205" spans="1:19" x14ac:dyDescent="0.3">
      <c r="A205" s="31" t="s">
        <v>319</v>
      </c>
      <c r="B205" s="29">
        <v>45301</v>
      </c>
      <c r="C205" s="28" t="s">
        <v>117</v>
      </c>
      <c r="D205" s="28" t="s">
        <v>49</v>
      </c>
      <c r="E205" s="26" t="s">
        <v>456</v>
      </c>
      <c r="F205" s="28" t="s">
        <v>118</v>
      </c>
      <c r="G205" s="28">
        <v>49830</v>
      </c>
      <c r="H205" s="28">
        <v>34650</v>
      </c>
      <c r="I205" s="28">
        <v>50</v>
      </c>
      <c r="J205" s="28">
        <v>40</v>
      </c>
      <c r="K205" s="28">
        <v>165</v>
      </c>
      <c r="L205" s="28">
        <v>5</v>
      </c>
      <c r="M205" s="28">
        <v>1</v>
      </c>
      <c r="N205" s="28" t="s">
        <v>22</v>
      </c>
      <c r="O205" s="28" t="s">
        <v>97</v>
      </c>
      <c r="P205" s="28" t="s">
        <v>98</v>
      </c>
      <c r="Q205" s="28">
        <v>7</v>
      </c>
      <c r="R205" s="28" t="s">
        <v>24</v>
      </c>
      <c r="S205" s="28">
        <v>750</v>
      </c>
    </row>
    <row r="206" spans="1:19" x14ac:dyDescent="0.3">
      <c r="A206" s="30" t="s">
        <v>320</v>
      </c>
      <c r="B206" s="27">
        <v>45626</v>
      </c>
      <c r="C206" s="26" t="s">
        <v>39</v>
      </c>
      <c r="D206" s="26" t="s">
        <v>20</v>
      </c>
      <c r="E206" s="28" t="s">
        <v>457</v>
      </c>
      <c r="F206" s="26" t="s">
        <v>40</v>
      </c>
      <c r="G206" s="26">
        <v>17360</v>
      </c>
      <c r="H206" s="26">
        <v>8370</v>
      </c>
      <c r="I206" s="26">
        <v>80</v>
      </c>
      <c r="J206" s="26">
        <v>12</v>
      </c>
      <c r="K206" s="26">
        <v>155</v>
      </c>
      <c r="L206" s="26">
        <v>15</v>
      </c>
      <c r="M206" s="26">
        <v>2</v>
      </c>
      <c r="N206" s="26" t="s">
        <v>41</v>
      </c>
      <c r="O206" s="26" t="s">
        <v>70</v>
      </c>
      <c r="P206" s="26" t="s">
        <v>71</v>
      </c>
      <c r="Q206" s="26">
        <v>8</v>
      </c>
      <c r="R206" s="26" t="s">
        <v>24</v>
      </c>
      <c r="S206" s="26">
        <v>300</v>
      </c>
    </row>
    <row r="207" spans="1:19" x14ac:dyDescent="0.3">
      <c r="A207" s="31" t="s">
        <v>321</v>
      </c>
      <c r="B207" s="29">
        <v>45506</v>
      </c>
      <c r="C207" s="28" t="s">
        <v>113</v>
      </c>
      <c r="D207" s="28" t="s">
        <v>114</v>
      </c>
      <c r="E207" s="26" t="s">
        <v>456</v>
      </c>
      <c r="F207" s="28" t="s">
        <v>115</v>
      </c>
      <c r="G207" s="28">
        <v>8526</v>
      </c>
      <c r="H207" s="28">
        <v>5166</v>
      </c>
      <c r="I207" s="28">
        <v>55</v>
      </c>
      <c r="J207" s="28">
        <v>18</v>
      </c>
      <c r="K207" s="28">
        <v>42</v>
      </c>
      <c r="L207" s="28">
        <v>1</v>
      </c>
      <c r="M207" s="28">
        <v>2</v>
      </c>
      <c r="N207" s="28" t="s">
        <v>36</v>
      </c>
      <c r="O207" s="28" t="s">
        <v>446</v>
      </c>
      <c r="P207" s="28" t="s">
        <v>103</v>
      </c>
      <c r="Q207" s="28">
        <v>8</v>
      </c>
      <c r="R207" s="28" t="s">
        <v>31</v>
      </c>
      <c r="S207" s="28">
        <v>200</v>
      </c>
    </row>
    <row r="208" spans="1:19" x14ac:dyDescent="0.3">
      <c r="A208" s="30" t="s">
        <v>322</v>
      </c>
      <c r="B208" s="27">
        <v>45546</v>
      </c>
      <c r="C208" s="26" t="s">
        <v>201</v>
      </c>
      <c r="D208" s="26" t="s">
        <v>27</v>
      </c>
      <c r="E208" s="28" t="s">
        <v>457</v>
      </c>
      <c r="F208" s="26" t="s">
        <v>202</v>
      </c>
      <c r="G208" s="26">
        <v>66960</v>
      </c>
      <c r="H208" s="26">
        <v>38130</v>
      </c>
      <c r="I208" s="26">
        <v>50</v>
      </c>
      <c r="J208" s="26">
        <v>29</v>
      </c>
      <c r="K208" s="26">
        <v>186</v>
      </c>
      <c r="L208" s="26">
        <v>3</v>
      </c>
      <c r="M208" s="26">
        <v>9</v>
      </c>
      <c r="N208" s="26" t="s">
        <v>41</v>
      </c>
      <c r="O208" s="26" t="s">
        <v>29</v>
      </c>
      <c r="P208" s="26" t="s">
        <v>30</v>
      </c>
      <c r="Q208" s="26">
        <v>7</v>
      </c>
      <c r="R208" s="26" t="s">
        <v>31</v>
      </c>
      <c r="S208" s="26">
        <v>100</v>
      </c>
    </row>
    <row r="209" spans="1:19" x14ac:dyDescent="0.3">
      <c r="A209" s="31" t="s">
        <v>323</v>
      </c>
      <c r="B209" s="29">
        <v>45525</v>
      </c>
      <c r="C209" s="28" t="s">
        <v>188</v>
      </c>
      <c r="D209" s="28" t="s">
        <v>61</v>
      </c>
      <c r="E209" s="26" t="s">
        <v>456</v>
      </c>
      <c r="F209" s="28" t="s">
        <v>189</v>
      </c>
      <c r="G209" s="28">
        <v>32841</v>
      </c>
      <c r="H209" s="28">
        <v>15219</v>
      </c>
      <c r="I209" s="28">
        <v>45</v>
      </c>
      <c r="J209" s="28">
        <v>52</v>
      </c>
      <c r="K209" s="28">
        <v>89</v>
      </c>
      <c r="L209" s="28">
        <v>10</v>
      </c>
      <c r="M209" s="28">
        <v>2</v>
      </c>
      <c r="N209" s="28" t="s">
        <v>41</v>
      </c>
      <c r="O209" s="28" t="s">
        <v>444</v>
      </c>
      <c r="P209" s="28" t="s">
        <v>37</v>
      </c>
      <c r="Q209" s="28">
        <v>3</v>
      </c>
      <c r="R209" s="28" t="s">
        <v>24</v>
      </c>
      <c r="S209" s="28">
        <v>0</v>
      </c>
    </row>
    <row r="210" spans="1:19" x14ac:dyDescent="0.3">
      <c r="A210" s="30" t="s">
        <v>324</v>
      </c>
      <c r="B210" s="27">
        <v>45516</v>
      </c>
      <c r="C210" s="26" t="s">
        <v>87</v>
      </c>
      <c r="D210" s="26" t="s">
        <v>45</v>
      </c>
      <c r="E210" s="28" t="s">
        <v>457</v>
      </c>
      <c r="F210" s="26" t="s">
        <v>88</v>
      </c>
      <c r="G210" s="26">
        <v>48922</v>
      </c>
      <c r="H210" s="26">
        <v>30988</v>
      </c>
      <c r="I210" s="26">
        <v>60</v>
      </c>
      <c r="J210" s="26">
        <v>110</v>
      </c>
      <c r="K210" s="26">
        <v>61</v>
      </c>
      <c r="L210" s="26">
        <v>6</v>
      </c>
      <c r="M210" s="26">
        <v>3</v>
      </c>
      <c r="N210" s="26" t="s">
        <v>41</v>
      </c>
      <c r="O210" s="26" t="s">
        <v>445</v>
      </c>
      <c r="P210" s="26" t="s">
        <v>42</v>
      </c>
      <c r="Q210" s="26">
        <v>6</v>
      </c>
      <c r="R210" s="26" t="s">
        <v>31</v>
      </c>
      <c r="S210" s="26">
        <v>750</v>
      </c>
    </row>
    <row r="211" spans="1:19" x14ac:dyDescent="0.3">
      <c r="A211" s="31" t="s">
        <v>325</v>
      </c>
      <c r="B211" s="29">
        <v>45373</v>
      </c>
      <c r="C211" s="28" t="s">
        <v>80</v>
      </c>
      <c r="D211" s="28" t="s">
        <v>20</v>
      </c>
      <c r="E211" s="26" t="s">
        <v>456</v>
      </c>
      <c r="F211" s="28" t="s">
        <v>81</v>
      </c>
      <c r="G211" s="28">
        <v>21952</v>
      </c>
      <c r="H211" s="28">
        <v>13104</v>
      </c>
      <c r="I211" s="28">
        <v>80</v>
      </c>
      <c r="J211" s="28">
        <v>18</v>
      </c>
      <c r="K211" s="28">
        <v>112</v>
      </c>
      <c r="L211" s="28">
        <v>9</v>
      </c>
      <c r="M211" s="28">
        <v>0</v>
      </c>
      <c r="N211" s="28" t="s">
        <v>22</v>
      </c>
      <c r="O211" s="28" t="s">
        <v>445</v>
      </c>
      <c r="P211" s="28" t="s">
        <v>42</v>
      </c>
      <c r="Q211" s="28">
        <v>3</v>
      </c>
      <c r="R211" s="28" t="s">
        <v>31</v>
      </c>
      <c r="S211" s="28">
        <v>1000</v>
      </c>
    </row>
    <row r="212" spans="1:19" x14ac:dyDescent="0.3">
      <c r="A212" s="30" t="s">
        <v>326</v>
      </c>
      <c r="B212" s="27">
        <v>45627</v>
      </c>
      <c r="C212" s="26" t="s">
        <v>33</v>
      </c>
      <c r="D212" s="26" t="s">
        <v>34</v>
      </c>
      <c r="E212" s="28" t="s">
        <v>457</v>
      </c>
      <c r="F212" s="26" t="s">
        <v>35</v>
      </c>
      <c r="G212" s="26">
        <v>71982</v>
      </c>
      <c r="H212" s="26">
        <v>47988</v>
      </c>
      <c r="I212" s="26">
        <v>50</v>
      </c>
      <c r="J212" s="26">
        <v>57</v>
      </c>
      <c r="K212" s="26">
        <v>186</v>
      </c>
      <c r="L212" s="26">
        <v>16</v>
      </c>
      <c r="M212" s="26">
        <v>8</v>
      </c>
      <c r="N212" s="26" t="s">
        <v>41</v>
      </c>
      <c r="O212" s="26" t="s">
        <v>23</v>
      </c>
      <c r="P212" s="26" t="s">
        <v>23</v>
      </c>
      <c r="Q212" s="26">
        <v>6</v>
      </c>
      <c r="R212" s="26" t="s">
        <v>24</v>
      </c>
      <c r="S212" s="26">
        <v>750</v>
      </c>
    </row>
    <row r="213" spans="1:19" x14ac:dyDescent="0.3">
      <c r="A213" s="31" t="s">
        <v>327</v>
      </c>
      <c r="B213" s="29">
        <v>45605</v>
      </c>
      <c r="C213" s="28" t="s">
        <v>201</v>
      </c>
      <c r="D213" s="28" t="s">
        <v>27</v>
      </c>
      <c r="E213" s="26" t="s">
        <v>456</v>
      </c>
      <c r="F213" s="28" t="s">
        <v>202</v>
      </c>
      <c r="G213" s="28">
        <v>6270</v>
      </c>
      <c r="H213" s="28">
        <v>4275</v>
      </c>
      <c r="I213" s="28">
        <v>80</v>
      </c>
      <c r="J213" s="28">
        <v>15</v>
      </c>
      <c r="K213" s="28">
        <v>57</v>
      </c>
      <c r="L213" s="28">
        <v>6</v>
      </c>
      <c r="M213" s="28">
        <v>1</v>
      </c>
      <c r="N213" s="28" t="s">
        <v>41</v>
      </c>
      <c r="O213" s="28" t="s">
        <v>97</v>
      </c>
      <c r="P213" s="28" t="s">
        <v>98</v>
      </c>
      <c r="Q213" s="28">
        <v>3</v>
      </c>
      <c r="R213" s="28" t="s">
        <v>31</v>
      </c>
      <c r="S213" s="28">
        <v>500</v>
      </c>
    </row>
    <row r="214" spans="1:19" x14ac:dyDescent="0.3">
      <c r="A214" s="30" t="s">
        <v>328</v>
      </c>
      <c r="B214" s="27">
        <v>45412</v>
      </c>
      <c r="C214" s="26" t="s">
        <v>117</v>
      </c>
      <c r="D214" s="26" t="s">
        <v>49</v>
      </c>
      <c r="E214" s="28" t="s">
        <v>457</v>
      </c>
      <c r="F214" s="26" t="s">
        <v>118</v>
      </c>
      <c r="G214" s="26">
        <v>28258</v>
      </c>
      <c r="H214" s="26">
        <v>18318</v>
      </c>
      <c r="I214" s="26">
        <v>80</v>
      </c>
      <c r="J214" s="26">
        <v>17</v>
      </c>
      <c r="K214" s="26">
        <v>142</v>
      </c>
      <c r="L214" s="26">
        <v>10</v>
      </c>
      <c r="M214" s="26">
        <v>1</v>
      </c>
      <c r="N214" s="26" t="s">
        <v>22</v>
      </c>
      <c r="O214" s="26" t="s">
        <v>70</v>
      </c>
      <c r="P214" s="26" t="s">
        <v>71</v>
      </c>
      <c r="Q214" s="26">
        <v>6</v>
      </c>
      <c r="R214" s="26" t="s">
        <v>24</v>
      </c>
      <c r="S214" s="26">
        <v>0</v>
      </c>
    </row>
    <row r="215" spans="1:19" x14ac:dyDescent="0.3">
      <c r="A215" s="31" t="s">
        <v>329</v>
      </c>
      <c r="B215" s="29">
        <v>45601</v>
      </c>
      <c r="C215" s="28" t="s">
        <v>121</v>
      </c>
      <c r="D215" s="28" t="s">
        <v>20</v>
      </c>
      <c r="E215" s="26" t="s">
        <v>456</v>
      </c>
      <c r="F215" s="28" t="s">
        <v>109</v>
      </c>
      <c r="G215" s="28">
        <v>120651</v>
      </c>
      <c r="H215" s="28">
        <v>81089</v>
      </c>
      <c r="I215" s="28">
        <v>50</v>
      </c>
      <c r="J215" s="28">
        <v>116</v>
      </c>
      <c r="K215" s="28">
        <v>131</v>
      </c>
      <c r="L215" s="28">
        <v>11</v>
      </c>
      <c r="M215" s="28">
        <v>6</v>
      </c>
      <c r="N215" s="28" t="s">
        <v>22</v>
      </c>
      <c r="O215" s="28" t="s">
        <v>446</v>
      </c>
      <c r="P215" s="28" t="s">
        <v>103</v>
      </c>
      <c r="Q215" s="28">
        <v>7</v>
      </c>
      <c r="R215" s="28" t="s">
        <v>31</v>
      </c>
      <c r="S215" s="28">
        <v>1000</v>
      </c>
    </row>
    <row r="216" spans="1:19" x14ac:dyDescent="0.3">
      <c r="A216" s="30" t="s">
        <v>330</v>
      </c>
      <c r="B216" s="27">
        <v>45350</v>
      </c>
      <c r="C216" s="26" t="s">
        <v>73</v>
      </c>
      <c r="D216" s="26" t="s">
        <v>74</v>
      </c>
      <c r="E216" s="28" t="s">
        <v>456</v>
      </c>
      <c r="F216" s="26" t="s">
        <v>75</v>
      </c>
      <c r="G216" s="26">
        <v>39117</v>
      </c>
      <c r="H216" s="26">
        <v>19824</v>
      </c>
      <c r="I216" s="26">
        <v>60</v>
      </c>
      <c r="J216" s="26">
        <v>23</v>
      </c>
      <c r="K216" s="26">
        <v>177</v>
      </c>
      <c r="L216" s="26">
        <v>17</v>
      </c>
      <c r="M216" s="26">
        <v>8</v>
      </c>
      <c r="N216" s="26" t="s">
        <v>41</v>
      </c>
      <c r="O216" s="26" t="s">
        <v>147</v>
      </c>
      <c r="P216" s="26" t="s">
        <v>148</v>
      </c>
      <c r="Q216" s="26">
        <v>6</v>
      </c>
      <c r="R216" s="26" t="s">
        <v>24</v>
      </c>
      <c r="S216" s="26">
        <v>0</v>
      </c>
    </row>
    <row r="217" spans="1:19" x14ac:dyDescent="0.3">
      <c r="A217" s="31" t="s">
        <v>331</v>
      </c>
      <c r="B217" s="29">
        <v>45604</v>
      </c>
      <c r="C217" s="28" t="s">
        <v>33</v>
      </c>
      <c r="D217" s="28" t="s">
        <v>34</v>
      </c>
      <c r="E217" s="26" t="s">
        <v>457</v>
      </c>
      <c r="F217" s="28" t="s">
        <v>35</v>
      </c>
      <c r="G217" s="28">
        <v>18774</v>
      </c>
      <c r="H217" s="28">
        <v>12789</v>
      </c>
      <c r="I217" s="28">
        <v>70</v>
      </c>
      <c r="J217" s="28">
        <v>28</v>
      </c>
      <c r="K217" s="28">
        <v>63</v>
      </c>
      <c r="L217" s="28">
        <v>1</v>
      </c>
      <c r="M217" s="28">
        <v>3</v>
      </c>
      <c r="N217" s="28" t="s">
        <v>22</v>
      </c>
      <c r="O217" s="28" t="s">
        <v>445</v>
      </c>
      <c r="P217" s="28" t="s">
        <v>42</v>
      </c>
      <c r="Q217" s="28">
        <v>8</v>
      </c>
      <c r="R217" s="28" t="s">
        <v>24</v>
      </c>
      <c r="S217" s="28">
        <v>1000</v>
      </c>
    </row>
    <row r="218" spans="1:19" x14ac:dyDescent="0.3">
      <c r="A218" s="30" t="s">
        <v>332</v>
      </c>
      <c r="B218" s="27">
        <v>45563</v>
      </c>
      <c r="C218" s="26" t="s">
        <v>108</v>
      </c>
      <c r="D218" s="26" t="s">
        <v>20</v>
      </c>
      <c r="E218" s="28" t="s">
        <v>457</v>
      </c>
      <c r="F218" s="26" t="s">
        <v>109</v>
      </c>
      <c r="G218" s="26">
        <v>8220</v>
      </c>
      <c r="H218" s="26">
        <v>4560</v>
      </c>
      <c r="I218" s="26">
        <v>80</v>
      </c>
      <c r="J218" s="26">
        <v>20</v>
      </c>
      <c r="K218" s="26">
        <v>60</v>
      </c>
      <c r="L218" s="26">
        <v>2</v>
      </c>
      <c r="M218" s="26">
        <v>1</v>
      </c>
      <c r="N218" s="26" t="s">
        <v>22</v>
      </c>
      <c r="O218" s="26" t="s">
        <v>447</v>
      </c>
      <c r="P218" s="26" t="s">
        <v>63</v>
      </c>
      <c r="Q218" s="26">
        <v>6</v>
      </c>
      <c r="R218" s="26" t="s">
        <v>31</v>
      </c>
      <c r="S218" s="26">
        <v>500</v>
      </c>
    </row>
    <row r="219" spans="1:19" x14ac:dyDescent="0.3">
      <c r="A219" s="31" t="s">
        <v>333</v>
      </c>
      <c r="B219" s="29">
        <v>45467</v>
      </c>
      <c r="C219" s="28" t="s">
        <v>117</v>
      </c>
      <c r="D219" s="28" t="s">
        <v>49</v>
      </c>
      <c r="E219" s="26" t="s">
        <v>456</v>
      </c>
      <c r="F219" s="28" t="s">
        <v>118</v>
      </c>
      <c r="G219" s="28">
        <v>57962</v>
      </c>
      <c r="H219" s="28">
        <v>28032</v>
      </c>
      <c r="I219" s="28">
        <v>70</v>
      </c>
      <c r="J219" s="28">
        <v>49</v>
      </c>
      <c r="K219" s="28">
        <v>146</v>
      </c>
      <c r="L219" s="28">
        <v>17</v>
      </c>
      <c r="M219" s="28">
        <v>5</v>
      </c>
      <c r="N219" s="28" t="s">
        <v>36</v>
      </c>
      <c r="O219" s="28" t="s">
        <v>23</v>
      </c>
      <c r="P219" s="28" t="s">
        <v>23</v>
      </c>
      <c r="Q219" s="28">
        <v>7</v>
      </c>
      <c r="R219" s="28" t="s">
        <v>31</v>
      </c>
      <c r="S219" s="28">
        <v>200</v>
      </c>
    </row>
    <row r="220" spans="1:19" x14ac:dyDescent="0.3">
      <c r="A220" s="30" t="s">
        <v>334</v>
      </c>
      <c r="B220" s="27">
        <v>45549</v>
      </c>
      <c r="C220" s="26" t="s">
        <v>279</v>
      </c>
      <c r="D220" s="26" t="s">
        <v>114</v>
      </c>
      <c r="E220" s="28" t="s">
        <v>457</v>
      </c>
      <c r="F220" s="26" t="s">
        <v>280</v>
      </c>
      <c r="G220" s="26">
        <v>114234</v>
      </c>
      <c r="H220" s="26">
        <v>60672</v>
      </c>
      <c r="I220" s="26">
        <v>40</v>
      </c>
      <c r="J220" s="26">
        <v>96</v>
      </c>
      <c r="K220" s="26">
        <v>158</v>
      </c>
      <c r="L220" s="26">
        <v>18</v>
      </c>
      <c r="M220" s="26">
        <v>6</v>
      </c>
      <c r="N220" s="26" t="s">
        <v>22</v>
      </c>
      <c r="O220" s="26" t="s">
        <v>444</v>
      </c>
      <c r="P220" s="26" t="s">
        <v>37</v>
      </c>
      <c r="Q220" s="26">
        <v>7</v>
      </c>
      <c r="R220" s="26" t="s">
        <v>31</v>
      </c>
      <c r="S220" s="26">
        <v>750</v>
      </c>
    </row>
    <row r="221" spans="1:19" x14ac:dyDescent="0.3">
      <c r="A221" s="31" t="s">
        <v>335</v>
      </c>
      <c r="B221" s="29">
        <v>45635</v>
      </c>
      <c r="C221" s="28" t="s">
        <v>80</v>
      </c>
      <c r="D221" s="28" t="s">
        <v>20</v>
      </c>
      <c r="E221" s="26" t="s">
        <v>456</v>
      </c>
      <c r="F221" s="28" t="s">
        <v>81</v>
      </c>
      <c r="G221" s="28">
        <v>22491</v>
      </c>
      <c r="H221" s="28">
        <v>14364</v>
      </c>
      <c r="I221" s="28">
        <v>45</v>
      </c>
      <c r="J221" s="28">
        <v>18</v>
      </c>
      <c r="K221" s="28">
        <v>189</v>
      </c>
      <c r="L221" s="28">
        <v>4</v>
      </c>
      <c r="M221" s="28">
        <v>0</v>
      </c>
      <c r="N221" s="28" t="s">
        <v>22</v>
      </c>
      <c r="O221" s="28" t="s">
        <v>447</v>
      </c>
      <c r="P221" s="28" t="s">
        <v>63</v>
      </c>
      <c r="Q221" s="28">
        <v>3</v>
      </c>
      <c r="R221" s="28" t="s">
        <v>31</v>
      </c>
      <c r="S221" s="28">
        <v>200</v>
      </c>
    </row>
    <row r="222" spans="1:19" x14ac:dyDescent="0.3">
      <c r="A222" s="30" t="s">
        <v>336</v>
      </c>
      <c r="B222" s="27">
        <v>45491</v>
      </c>
      <c r="C222" s="26" t="s">
        <v>201</v>
      </c>
      <c r="D222" s="26" t="s">
        <v>27</v>
      </c>
      <c r="E222" s="26" t="s">
        <v>456</v>
      </c>
      <c r="F222" s="26" t="s">
        <v>202</v>
      </c>
      <c r="G222" s="26">
        <v>9126</v>
      </c>
      <c r="H222" s="26">
        <v>5913</v>
      </c>
      <c r="I222" s="26">
        <v>55</v>
      </c>
      <c r="J222" s="26">
        <v>43</v>
      </c>
      <c r="K222" s="26">
        <v>27</v>
      </c>
      <c r="L222" s="26">
        <v>3</v>
      </c>
      <c r="M222" s="26">
        <v>1</v>
      </c>
      <c r="N222" s="26" t="s">
        <v>41</v>
      </c>
      <c r="O222" s="26" t="s">
        <v>444</v>
      </c>
      <c r="P222" s="26" t="s">
        <v>37</v>
      </c>
      <c r="Q222" s="26">
        <v>8</v>
      </c>
      <c r="R222" s="26" t="s">
        <v>31</v>
      </c>
      <c r="S222" s="26">
        <v>0</v>
      </c>
    </row>
    <row r="223" spans="1:19" x14ac:dyDescent="0.3">
      <c r="A223" s="31" t="s">
        <v>337</v>
      </c>
      <c r="B223" s="29">
        <v>45616</v>
      </c>
      <c r="C223" s="28" t="s">
        <v>188</v>
      </c>
      <c r="D223" s="28" t="s">
        <v>61</v>
      </c>
      <c r="E223" s="28" t="s">
        <v>457</v>
      </c>
      <c r="F223" s="28" t="s">
        <v>189</v>
      </c>
      <c r="G223" s="28">
        <v>61568</v>
      </c>
      <c r="H223" s="28">
        <v>36736</v>
      </c>
      <c r="I223" s="28">
        <v>50</v>
      </c>
      <c r="J223" s="28">
        <v>129</v>
      </c>
      <c r="K223" s="28">
        <v>64</v>
      </c>
      <c r="L223" s="28">
        <v>7</v>
      </c>
      <c r="M223" s="28">
        <v>1</v>
      </c>
      <c r="N223" s="28" t="s">
        <v>22</v>
      </c>
      <c r="O223" s="28" t="s">
        <v>147</v>
      </c>
      <c r="P223" s="28" t="s">
        <v>148</v>
      </c>
      <c r="Q223" s="28">
        <v>8</v>
      </c>
      <c r="R223" s="28" t="s">
        <v>24</v>
      </c>
      <c r="S223" s="28">
        <v>100</v>
      </c>
    </row>
    <row r="224" spans="1:19" x14ac:dyDescent="0.3">
      <c r="A224" s="30" t="s">
        <v>338</v>
      </c>
      <c r="B224" s="27">
        <v>45434</v>
      </c>
      <c r="C224" s="26" t="s">
        <v>48</v>
      </c>
      <c r="D224" s="26" t="s">
        <v>49</v>
      </c>
      <c r="E224" s="26" t="s">
        <v>456</v>
      </c>
      <c r="F224" s="26" t="s">
        <v>50</v>
      </c>
      <c r="G224" s="26">
        <v>82410</v>
      </c>
      <c r="H224" s="26">
        <v>40334</v>
      </c>
      <c r="I224" s="26">
        <v>55</v>
      </c>
      <c r="J224" s="26">
        <v>49</v>
      </c>
      <c r="K224" s="26">
        <v>134</v>
      </c>
      <c r="L224" s="26">
        <v>1</v>
      </c>
      <c r="M224" s="26">
        <v>1</v>
      </c>
      <c r="N224" s="26" t="s">
        <v>36</v>
      </c>
      <c r="O224" s="26" t="s">
        <v>445</v>
      </c>
      <c r="P224" s="26" t="s">
        <v>42</v>
      </c>
      <c r="Q224" s="26">
        <v>7</v>
      </c>
      <c r="R224" s="26" t="s">
        <v>24</v>
      </c>
      <c r="S224" s="26">
        <v>300</v>
      </c>
    </row>
    <row r="225" spans="1:19" x14ac:dyDescent="0.3">
      <c r="A225" s="31" t="s">
        <v>339</v>
      </c>
      <c r="B225" s="29">
        <v>45404</v>
      </c>
      <c r="C225" s="28" t="s">
        <v>54</v>
      </c>
      <c r="D225" s="28" t="s">
        <v>27</v>
      </c>
      <c r="E225" s="28" t="s">
        <v>457</v>
      </c>
      <c r="F225" s="28" t="s">
        <v>55</v>
      </c>
      <c r="G225" s="28">
        <v>41192</v>
      </c>
      <c r="H225" s="28">
        <v>26600</v>
      </c>
      <c r="I225" s="28">
        <v>45</v>
      </c>
      <c r="J225" s="28">
        <v>30</v>
      </c>
      <c r="K225" s="28">
        <v>152</v>
      </c>
      <c r="L225" s="28">
        <v>2</v>
      </c>
      <c r="M225" s="28">
        <v>5</v>
      </c>
      <c r="N225" s="28" t="s">
        <v>41</v>
      </c>
      <c r="O225" s="28" t="s">
        <v>446</v>
      </c>
      <c r="P225" s="28" t="s">
        <v>103</v>
      </c>
      <c r="Q225" s="28">
        <v>5</v>
      </c>
      <c r="R225" s="28" t="s">
        <v>31</v>
      </c>
      <c r="S225" s="28">
        <v>500</v>
      </c>
    </row>
    <row r="226" spans="1:19" x14ac:dyDescent="0.3">
      <c r="A226" s="30" t="s">
        <v>340</v>
      </c>
      <c r="B226" s="27">
        <v>45624</v>
      </c>
      <c r="C226" s="26" t="s">
        <v>201</v>
      </c>
      <c r="D226" s="26" t="s">
        <v>27</v>
      </c>
      <c r="E226" s="26" t="s">
        <v>456</v>
      </c>
      <c r="F226" s="26" t="s">
        <v>202</v>
      </c>
      <c r="G226" s="26">
        <v>19780</v>
      </c>
      <c r="H226" s="26">
        <v>10664</v>
      </c>
      <c r="I226" s="26">
        <v>50</v>
      </c>
      <c r="J226" s="26">
        <v>16</v>
      </c>
      <c r="K226" s="26">
        <v>172</v>
      </c>
      <c r="L226" s="26">
        <v>7</v>
      </c>
      <c r="M226" s="26">
        <v>0</v>
      </c>
      <c r="N226" s="26" t="s">
        <v>22</v>
      </c>
      <c r="O226" s="26" t="s">
        <v>29</v>
      </c>
      <c r="P226" s="26" t="s">
        <v>30</v>
      </c>
      <c r="Q226" s="26">
        <v>6</v>
      </c>
      <c r="R226" s="26" t="s">
        <v>31</v>
      </c>
      <c r="S226" s="26">
        <v>750</v>
      </c>
    </row>
    <row r="227" spans="1:19" x14ac:dyDescent="0.3">
      <c r="A227" s="31" t="s">
        <v>341</v>
      </c>
      <c r="B227" s="29">
        <v>45483</v>
      </c>
      <c r="C227" s="28" t="s">
        <v>54</v>
      </c>
      <c r="D227" s="28" t="s">
        <v>27</v>
      </c>
      <c r="E227" s="28" t="s">
        <v>457</v>
      </c>
      <c r="F227" s="28" t="s">
        <v>55</v>
      </c>
      <c r="G227" s="28">
        <v>135750</v>
      </c>
      <c r="H227" s="28">
        <v>76201</v>
      </c>
      <c r="I227" s="28">
        <v>35</v>
      </c>
      <c r="J227" s="28">
        <v>76</v>
      </c>
      <c r="K227" s="28">
        <v>181</v>
      </c>
      <c r="L227" s="28">
        <v>10</v>
      </c>
      <c r="M227" s="28">
        <v>8</v>
      </c>
      <c r="N227" s="28" t="s">
        <v>41</v>
      </c>
      <c r="O227" s="28" t="s">
        <v>447</v>
      </c>
      <c r="P227" s="28" t="s">
        <v>63</v>
      </c>
      <c r="Q227" s="28">
        <v>7</v>
      </c>
      <c r="R227" s="28" t="s">
        <v>24</v>
      </c>
      <c r="S227" s="28">
        <v>100</v>
      </c>
    </row>
    <row r="228" spans="1:19" x14ac:dyDescent="0.3">
      <c r="A228" s="30" t="s">
        <v>342</v>
      </c>
      <c r="B228" s="27">
        <v>45642</v>
      </c>
      <c r="C228" s="26" t="s">
        <v>127</v>
      </c>
      <c r="D228" s="26" t="s">
        <v>61</v>
      </c>
      <c r="E228" s="26" t="s">
        <v>456</v>
      </c>
      <c r="F228" s="26" t="s">
        <v>128</v>
      </c>
      <c r="G228" s="26">
        <v>19998</v>
      </c>
      <c r="H228" s="26">
        <v>10032</v>
      </c>
      <c r="I228" s="26">
        <v>70</v>
      </c>
      <c r="J228" s="26">
        <v>76</v>
      </c>
      <c r="K228" s="26">
        <v>33</v>
      </c>
      <c r="L228" s="26">
        <v>0</v>
      </c>
      <c r="M228" s="26">
        <v>1</v>
      </c>
      <c r="N228" s="26" t="s">
        <v>41</v>
      </c>
      <c r="O228" s="26" t="s">
        <v>29</v>
      </c>
      <c r="P228" s="26" t="s">
        <v>30</v>
      </c>
      <c r="Q228" s="26">
        <v>3</v>
      </c>
      <c r="R228" s="26" t="s">
        <v>31</v>
      </c>
      <c r="S228" s="26">
        <v>0</v>
      </c>
    </row>
    <row r="229" spans="1:19" x14ac:dyDescent="0.3">
      <c r="A229" s="31" t="s">
        <v>343</v>
      </c>
      <c r="B229" s="29">
        <v>45424</v>
      </c>
      <c r="C229" s="28" t="s">
        <v>188</v>
      </c>
      <c r="D229" s="28" t="s">
        <v>61</v>
      </c>
      <c r="E229" s="28" t="s">
        <v>457</v>
      </c>
      <c r="F229" s="28" t="s">
        <v>189</v>
      </c>
      <c r="G229" s="28">
        <v>58938</v>
      </c>
      <c r="H229" s="28">
        <v>35796</v>
      </c>
      <c r="I229" s="28">
        <v>70</v>
      </c>
      <c r="J229" s="28">
        <v>53</v>
      </c>
      <c r="K229" s="28">
        <v>114</v>
      </c>
      <c r="L229" s="28">
        <v>8</v>
      </c>
      <c r="M229" s="28">
        <v>0</v>
      </c>
      <c r="N229" s="28" t="s">
        <v>22</v>
      </c>
      <c r="O229" s="28" t="s">
        <v>29</v>
      </c>
      <c r="P229" s="28" t="s">
        <v>30</v>
      </c>
      <c r="Q229" s="28">
        <v>5</v>
      </c>
      <c r="R229" s="28" t="s">
        <v>24</v>
      </c>
      <c r="S229" s="28">
        <v>0</v>
      </c>
    </row>
    <row r="230" spans="1:19" x14ac:dyDescent="0.3">
      <c r="A230" s="30" t="s">
        <v>344</v>
      </c>
      <c r="B230" s="27">
        <v>45436</v>
      </c>
      <c r="C230" s="26" t="s">
        <v>121</v>
      </c>
      <c r="D230" s="26" t="s">
        <v>20</v>
      </c>
      <c r="E230" s="26" t="s">
        <v>456</v>
      </c>
      <c r="F230" s="26" t="s">
        <v>109</v>
      </c>
      <c r="G230" s="26">
        <v>87580</v>
      </c>
      <c r="H230" s="26">
        <v>57380</v>
      </c>
      <c r="I230" s="26">
        <v>35</v>
      </c>
      <c r="J230" s="26">
        <v>66</v>
      </c>
      <c r="K230" s="26">
        <v>151</v>
      </c>
      <c r="L230" s="26">
        <v>4</v>
      </c>
      <c r="M230" s="26">
        <v>6</v>
      </c>
      <c r="N230" s="26" t="s">
        <v>41</v>
      </c>
      <c r="O230" s="26" t="s">
        <v>97</v>
      </c>
      <c r="P230" s="26" t="s">
        <v>98</v>
      </c>
      <c r="Q230" s="26">
        <v>8</v>
      </c>
      <c r="R230" s="26" t="s">
        <v>31</v>
      </c>
      <c r="S230" s="26">
        <v>100</v>
      </c>
    </row>
    <row r="231" spans="1:19" x14ac:dyDescent="0.3">
      <c r="A231" s="31" t="s">
        <v>345</v>
      </c>
      <c r="B231" s="29">
        <v>45576</v>
      </c>
      <c r="C231" s="28" t="s">
        <v>201</v>
      </c>
      <c r="D231" s="28" t="s">
        <v>27</v>
      </c>
      <c r="E231" s="28" t="s">
        <v>457</v>
      </c>
      <c r="F231" s="28" t="s">
        <v>202</v>
      </c>
      <c r="G231" s="28">
        <v>8352</v>
      </c>
      <c r="H231" s="28">
        <v>3780</v>
      </c>
      <c r="I231" s="28">
        <v>70</v>
      </c>
      <c r="J231" s="28">
        <v>27</v>
      </c>
      <c r="K231" s="28">
        <v>36</v>
      </c>
      <c r="L231" s="28">
        <v>1</v>
      </c>
      <c r="M231" s="28">
        <v>1</v>
      </c>
      <c r="N231" s="28" t="s">
        <v>22</v>
      </c>
      <c r="O231" s="28" t="s">
        <v>147</v>
      </c>
      <c r="P231" s="28" t="s">
        <v>148</v>
      </c>
      <c r="Q231" s="28">
        <v>4</v>
      </c>
      <c r="R231" s="28" t="s">
        <v>31</v>
      </c>
      <c r="S231" s="28">
        <v>100</v>
      </c>
    </row>
    <row r="232" spans="1:19" x14ac:dyDescent="0.3">
      <c r="A232" s="30" t="s">
        <v>346</v>
      </c>
      <c r="B232" s="27">
        <v>45384</v>
      </c>
      <c r="C232" s="26" t="s">
        <v>19</v>
      </c>
      <c r="D232" s="26" t="s">
        <v>20</v>
      </c>
      <c r="E232" s="26" t="s">
        <v>456</v>
      </c>
      <c r="F232" s="26" t="s">
        <v>21</v>
      </c>
      <c r="G232" s="26">
        <v>37092</v>
      </c>
      <c r="H232" s="26">
        <v>24585</v>
      </c>
      <c r="I232" s="26">
        <v>80</v>
      </c>
      <c r="J232" s="26">
        <v>141</v>
      </c>
      <c r="K232" s="26">
        <v>33</v>
      </c>
      <c r="L232" s="26">
        <v>0</v>
      </c>
      <c r="M232" s="26">
        <v>1</v>
      </c>
      <c r="N232" s="26" t="s">
        <v>41</v>
      </c>
      <c r="O232" s="26" t="s">
        <v>446</v>
      </c>
      <c r="P232" s="26" t="s">
        <v>103</v>
      </c>
      <c r="Q232" s="26">
        <v>5</v>
      </c>
      <c r="R232" s="26" t="s">
        <v>31</v>
      </c>
      <c r="S232" s="26">
        <v>1000</v>
      </c>
    </row>
    <row r="233" spans="1:19" x14ac:dyDescent="0.3">
      <c r="A233" s="31" t="s">
        <v>347</v>
      </c>
      <c r="B233" s="29">
        <v>45609</v>
      </c>
      <c r="C233" s="28" t="s">
        <v>135</v>
      </c>
      <c r="D233" s="28" t="s">
        <v>34</v>
      </c>
      <c r="E233" s="28" t="s">
        <v>456</v>
      </c>
      <c r="F233" s="28" t="s">
        <v>136</v>
      </c>
      <c r="G233" s="28">
        <v>42456</v>
      </c>
      <c r="H233" s="28">
        <v>22509</v>
      </c>
      <c r="I233" s="28">
        <v>80</v>
      </c>
      <c r="J233" s="28">
        <v>24</v>
      </c>
      <c r="K233" s="28">
        <v>183</v>
      </c>
      <c r="L233" s="28">
        <v>18</v>
      </c>
      <c r="M233" s="28">
        <v>2</v>
      </c>
      <c r="N233" s="28" t="s">
        <v>36</v>
      </c>
      <c r="O233" s="28" t="s">
        <v>70</v>
      </c>
      <c r="P233" s="28" t="s">
        <v>71</v>
      </c>
      <c r="Q233" s="28">
        <v>4</v>
      </c>
      <c r="R233" s="28" t="s">
        <v>31</v>
      </c>
      <c r="S233" s="28">
        <v>500</v>
      </c>
    </row>
    <row r="234" spans="1:19" x14ac:dyDescent="0.3">
      <c r="A234" s="30" t="s">
        <v>348</v>
      </c>
      <c r="B234" s="27">
        <v>45433</v>
      </c>
      <c r="C234" s="26" t="s">
        <v>48</v>
      </c>
      <c r="D234" s="26" t="s">
        <v>49</v>
      </c>
      <c r="E234" s="26" t="s">
        <v>456</v>
      </c>
      <c r="F234" s="26" t="s">
        <v>50</v>
      </c>
      <c r="G234" s="26">
        <v>43248</v>
      </c>
      <c r="H234" s="26">
        <v>27348</v>
      </c>
      <c r="I234" s="26">
        <v>80</v>
      </c>
      <c r="J234" s="26">
        <v>46</v>
      </c>
      <c r="K234" s="26">
        <v>106</v>
      </c>
      <c r="L234" s="26">
        <v>7</v>
      </c>
      <c r="M234" s="26">
        <v>4</v>
      </c>
      <c r="N234" s="26" t="s">
        <v>41</v>
      </c>
      <c r="O234" s="26" t="s">
        <v>97</v>
      </c>
      <c r="P234" s="26" t="s">
        <v>98</v>
      </c>
      <c r="Q234" s="26">
        <v>4</v>
      </c>
      <c r="R234" s="26" t="s">
        <v>31</v>
      </c>
      <c r="S234" s="26">
        <v>0</v>
      </c>
    </row>
    <row r="235" spans="1:19" x14ac:dyDescent="0.3">
      <c r="A235" s="31" t="s">
        <v>349</v>
      </c>
      <c r="B235" s="29">
        <v>45301</v>
      </c>
      <c r="C235" s="28" t="s">
        <v>67</v>
      </c>
      <c r="D235" s="28" t="s">
        <v>20</v>
      </c>
      <c r="E235" s="28" t="s">
        <v>457</v>
      </c>
      <c r="F235" s="28" t="s">
        <v>68</v>
      </c>
      <c r="G235" s="28">
        <v>48783</v>
      </c>
      <c r="H235" s="28">
        <v>31878</v>
      </c>
      <c r="I235" s="28">
        <v>70</v>
      </c>
      <c r="J235" s="28">
        <v>95</v>
      </c>
      <c r="K235" s="28">
        <v>69</v>
      </c>
      <c r="L235" s="28">
        <v>8</v>
      </c>
      <c r="M235" s="28">
        <v>2</v>
      </c>
      <c r="N235" s="28" t="s">
        <v>22</v>
      </c>
      <c r="O235" s="28" t="s">
        <v>446</v>
      </c>
      <c r="P235" s="28" t="s">
        <v>103</v>
      </c>
      <c r="Q235" s="28">
        <v>6</v>
      </c>
      <c r="R235" s="28" t="s">
        <v>31</v>
      </c>
      <c r="S235" s="28">
        <v>100</v>
      </c>
    </row>
    <row r="236" spans="1:19" x14ac:dyDescent="0.3">
      <c r="A236" s="30" t="s">
        <v>350</v>
      </c>
      <c r="B236" s="27">
        <v>45548</v>
      </c>
      <c r="C236" s="26" t="s">
        <v>77</v>
      </c>
      <c r="D236" s="26" t="s">
        <v>74</v>
      </c>
      <c r="E236" s="26" t="s">
        <v>456</v>
      </c>
      <c r="F236" s="26" t="s">
        <v>78</v>
      </c>
      <c r="G236" s="26">
        <v>98384</v>
      </c>
      <c r="H236" s="26">
        <v>53148</v>
      </c>
      <c r="I236" s="26">
        <v>35</v>
      </c>
      <c r="J236" s="26">
        <v>72</v>
      </c>
      <c r="K236" s="26">
        <v>172</v>
      </c>
      <c r="L236" s="26">
        <v>16</v>
      </c>
      <c r="M236" s="26">
        <v>2</v>
      </c>
      <c r="N236" s="26" t="s">
        <v>41</v>
      </c>
      <c r="O236" s="26" t="s">
        <v>51</v>
      </c>
      <c r="P236" s="26" t="s">
        <v>52</v>
      </c>
      <c r="Q236" s="26">
        <v>7</v>
      </c>
      <c r="R236" s="26" t="s">
        <v>31</v>
      </c>
      <c r="S236" s="26">
        <v>100</v>
      </c>
    </row>
    <row r="237" spans="1:19" x14ac:dyDescent="0.3">
      <c r="A237" s="31" t="s">
        <v>351</v>
      </c>
      <c r="B237" s="29">
        <v>45404</v>
      </c>
      <c r="C237" s="28" t="s">
        <v>206</v>
      </c>
      <c r="D237" s="28" t="s">
        <v>20</v>
      </c>
      <c r="E237" s="28" t="s">
        <v>457</v>
      </c>
      <c r="F237" s="28" t="s">
        <v>207</v>
      </c>
      <c r="G237" s="28">
        <v>36649</v>
      </c>
      <c r="H237" s="28">
        <v>18894</v>
      </c>
      <c r="I237" s="28">
        <v>50</v>
      </c>
      <c r="J237" s="28">
        <v>45</v>
      </c>
      <c r="K237" s="28">
        <v>67</v>
      </c>
      <c r="L237" s="28">
        <v>5</v>
      </c>
      <c r="M237" s="28">
        <v>3</v>
      </c>
      <c r="N237" s="28" t="s">
        <v>22</v>
      </c>
      <c r="O237" s="28" t="s">
        <v>444</v>
      </c>
      <c r="P237" s="28" t="s">
        <v>37</v>
      </c>
      <c r="Q237" s="28">
        <v>8</v>
      </c>
      <c r="R237" s="28" t="s">
        <v>31</v>
      </c>
      <c r="S237" s="28">
        <v>0</v>
      </c>
    </row>
    <row r="238" spans="1:19" x14ac:dyDescent="0.3">
      <c r="A238" s="30" t="s">
        <v>352</v>
      </c>
      <c r="B238" s="27">
        <v>45588</v>
      </c>
      <c r="C238" s="26" t="s">
        <v>33</v>
      </c>
      <c r="D238" s="26" t="s">
        <v>34</v>
      </c>
      <c r="E238" s="26" t="s">
        <v>456</v>
      </c>
      <c r="F238" s="26" t="s">
        <v>35</v>
      </c>
      <c r="G238" s="26">
        <v>125944</v>
      </c>
      <c r="H238" s="26">
        <v>68614</v>
      </c>
      <c r="I238" s="26">
        <v>70</v>
      </c>
      <c r="J238" s="26">
        <v>73</v>
      </c>
      <c r="K238" s="26">
        <v>182</v>
      </c>
      <c r="L238" s="26">
        <v>16</v>
      </c>
      <c r="M238" s="26">
        <v>4</v>
      </c>
      <c r="N238" s="26" t="s">
        <v>22</v>
      </c>
      <c r="O238" s="26" t="s">
        <v>446</v>
      </c>
      <c r="P238" s="26" t="s">
        <v>103</v>
      </c>
      <c r="Q238" s="26">
        <v>5</v>
      </c>
      <c r="R238" s="26" t="s">
        <v>31</v>
      </c>
      <c r="S238" s="26">
        <v>750</v>
      </c>
    </row>
    <row r="239" spans="1:19" x14ac:dyDescent="0.3">
      <c r="A239" s="31" t="s">
        <v>353</v>
      </c>
      <c r="B239" s="29">
        <v>45363</v>
      </c>
      <c r="C239" s="28" t="s">
        <v>57</v>
      </c>
      <c r="D239" s="28" t="s">
        <v>27</v>
      </c>
      <c r="E239" s="28" t="s">
        <v>457</v>
      </c>
      <c r="F239" s="28" t="s">
        <v>58</v>
      </c>
      <c r="G239" s="28">
        <v>32984</v>
      </c>
      <c r="H239" s="28">
        <v>15500</v>
      </c>
      <c r="I239" s="28">
        <v>55</v>
      </c>
      <c r="J239" s="28">
        <v>50</v>
      </c>
      <c r="K239" s="28">
        <v>62</v>
      </c>
      <c r="L239" s="28">
        <v>5</v>
      </c>
      <c r="M239" s="28">
        <v>0</v>
      </c>
      <c r="N239" s="28" t="s">
        <v>22</v>
      </c>
      <c r="O239" s="28" t="s">
        <v>446</v>
      </c>
      <c r="P239" s="28" t="s">
        <v>103</v>
      </c>
      <c r="Q239" s="28">
        <v>8</v>
      </c>
      <c r="R239" s="28" t="s">
        <v>31</v>
      </c>
      <c r="S239" s="28">
        <v>750</v>
      </c>
    </row>
    <row r="240" spans="1:19" x14ac:dyDescent="0.3">
      <c r="A240" s="30" t="s">
        <v>354</v>
      </c>
      <c r="B240" s="27">
        <v>45594</v>
      </c>
      <c r="C240" s="26" t="s">
        <v>127</v>
      </c>
      <c r="D240" s="26" t="s">
        <v>61</v>
      </c>
      <c r="E240" s="26" t="s">
        <v>456</v>
      </c>
      <c r="F240" s="26" t="s">
        <v>128</v>
      </c>
      <c r="G240" s="26">
        <v>45724</v>
      </c>
      <c r="H240" s="26">
        <v>25277</v>
      </c>
      <c r="I240" s="26">
        <v>50</v>
      </c>
      <c r="J240" s="26">
        <v>24</v>
      </c>
      <c r="K240" s="26">
        <v>161</v>
      </c>
      <c r="L240" s="26">
        <v>5</v>
      </c>
      <c r="M240" s="26">
        <v>2</v>
      </c>
      <c r="N240" s="26" t="s">
        <v>41</v>
      </c>
      <c r="O240" s="26" t="s">
        <v>444</v>
      </c>
      <c r="P240" s="26" t="s">
        <v>37</v>
      </c>
      <c r="Q240" s="26">
        <v>4</v>
      </c>
      <c r="R240" s="26" t="s">
        <v>24</v>
      </c>
      <c r="S240" s="26">
        <v>100</v>
      </c>
    </row>
    <row r="241" spans="1:19" x14ac:dyDescent="0.3">
      <c r="A241" s="31" t="s">
        <v>355</v>
      </c>
      <c r="B241" s="29">
        <v>45630</v>
      </c>
      <c r="C241" s="28" t="s">
        <v>139</v>
      </c>
      <c r="D241" s="28" t="s">
        <v>20</v>
      </c>
      <c r="E241" s="28" t="s">
        <v>457</v>
      </c>
      <c r="F241" s="28" t="s">
        <v>140</v>
      </c>
      <c r="G241" s="28">
        <v>27318</v>
      </c>
      <c r="H241" s="28">
        <v>13746</v>
      </c>
      <c r="I241" s="28">
        <v>80</v>
      </c>
      <c r="J241" s="28">
        <v>66</v>
      </c>
      <c r="K241" s="28">
        <v>58</v>
      </c>
      <c r="L241" s="28">
        <v>6</v>
      </c>
      <c r="M241" s="28">
        <v>1</v>
      </c>
      <c r="N241" s="28" t="s">
        <v>36</v>
      </c>
      <c r="O241" s="28" t="s">
        <v>51</v>
      </c>
      <c r="P241" s="28" t="s">
        <v>52</v>
      </c>
      <c r="Q241" s="28">
        <v>8</v>
      </c>
      <c r="R241" s="28" t="s">
        <v>31</v>
      </c>
      <c r="S241" s="28">
        <v>100</v>
      </c>
    </row>
    <row r="242" spans="1:19" x14ac:dyDescent="0.3">
      <c r="A242" s="30" t="s">
        <v>356</v>
      </c>
      <c r="B242" s="27">
        <v>45597</v>
      </c>
      <c r="C242" s="26" t="s">
        <v>77</v>
      </c>
      <c r="D242" s="26" t="s">
        <v>74</v>
      </c>
      <c r="E242" s="26" t="s">
        <v>456</v>
      </c>
      <c r="F242" s="26" t="s">
        <v>78</v>
      </c>
      <c r="G242" s="26">
        <v>48642</v>
      </c>
      <c r="H242" s="26">
        <v>26466</v>
      </c>
      <c r="I242" s="26">
        <v>45</v>
      </c>
      <c r="J242" s="26">
        <v>65</v>
      </c>
      <c r="K242" s="26">
        <v>66</v>
      </c>
      <c r="L242" s="26">
        <v>6</v>
      </c>
      <c r="M242" s="26">
        <v>1</v>
      </c>
      <c r="N242" s="26" t="s">
        <v>22</v>
      </c>
      <c r="O242" s="26" t="s">
        <v>445</v>
      </c>
      <c r="P242" s="26" t="s">
        <v>42</v>
      </c>
      <c r="Q242" s="26">
        <v>7</v>
      </c>
      <c r="R242" s="26" t="s">
        <v>24</v>
      </c>
      <c r="S242" s="26">
        <v>100</v>
      </c>
    </row>
    <row r="243" spans="1:19" x14ac:dyDescent="0.3">
      <c r="A243" s="31" t="s">
        <v>357</v>
      </c>
      <c r="B243" s="29">
        <v>45538</v>
      </c>
      <c r="C243" s="28" t="s">
        <v>121</v>
      </c>
      <c r="D243" s="28" t="s">
        <v>20</v>
      </c>
      <c r="E243" s="28" t="s">
        <v>457</v>
      </c>
      <c r="F243" s="28" t="s">
        <v>109</v>
      </c>
      <c r="G243" s="28">
        <v>164124</v>
      </c>
      <c r="H243" s="28">
        <v>98700</v>
      </c>
      <c r="I243" s="28">
        <v>35</v>
      </c>
      <c r="J243" s="28">
        <v>125</v>
      </c>
      <c r="K243" s="28">
        <v>188</v>
      </c>
      <c r="L243" s="28">
        <v>13</v>
      </c>
      <c r="M243" s="28">
        <v>8</v>
      </c>
      <c r="N243" s="28" t="s">
        <v>22</v>
      </c>
      <c r="O243" s="28" t="s">
        <v>447</v>
      </c>
      <c r="P243" s="28" t="s">
        <v>63</v>
      </c>
      <c r="Q243" s="28">
        <v>6</v>
      </c>
      <c r="R243" s="28" t="s">
        <v>31</v>
      </c>
      <c r="S243" s="28">
        <v>0</v>
      </c>
    </row>
    <row r="244" spans="1:19" x14ac:dyDescent="0.3">
      <c r="A244" s="30" t="s">
        <v>358</v>
      </c>
      <c r="B244" s="27">
        <v>45509</v>
      </c>
      <c r="C244" s="26" t="s">
        <v>39</v>
      </c>
      <c r="D244" s="26" t="s">
        <v>20</v>
      </c>
      <c r="E244" s="26" t="s">
        <v>456</v>
      </c>
      <c r="F244" s="26" t="s">
        <v>40</v>
      </c>
      <c r="G244" s="26">
        <v>37730</v>
      </c>
      <c r="H244" s="26">
        <v>24178</v>
      </c>
      <c r="I244" s="26">
        <v>40</v>
      </c>
      <c r="J244" s="26">
        <v>24</v>
      </c>
      <c r="K244" s="26">
        <v>154</v>
      </c>
      <c r="L244" s="26">
        <v>8</v>
      </c>
      <c r="M244" s="26">
        <v>3</v>
      </c>
      <c r="N244" s="26" t="s">
        <v>41</v>
      </c>
      <c r="O244" s="26" t="s">
        <v>447</v>
      </c>
      <c r="P244" s="26" t="s">
        <v>63</v>
      </c>
      <c r="Q244" s="26">
        <v>3</v>
      </c>
      <c r="R244" s="26" t="s">
        <v>24</v>
      </c>
      <c r="S244" s="26">
        <v>0</v>
      </c>
    </row>
    <row r="245" spans="1:19" x14ac:dyDescent="0.3">
      <c r="A245" s="31" t="s">
        <v>359</v>
      </c>
      <c r="B245" s="29">
        <v>45477</v>
      </c>
      <c r="C245" s="28" t="s">
        <v>95</v>
      </c>
      <c r="D245" s="28" t="s">
        <v>49</v>
      </c>
      <c r="E245" s="28" t="s">
        <v>456</v>
      </c>
      <c r="F245" s="28" t="s">
        <v>96</v>
      </c>
      <c r="G245" s="28">
        <v>26752</v>
      </c>
      <c r="H245" s="28">
        <v>16416</v>
      </c>
      <c r="I245" s="28">
        <v>55</v>
      </c>
      <c r="J245" s="28">
        <v>17</v>
      </c>
      <c r="K245" s="28">
        <v>152</v>
      </c>
      <c r="L245" s="28">
        <v>18</v>
      </c>
      <c r="M245" s="28">
        <v>5</v>
      </c>
      <c r="N245" s="28" t="s">
        <v>22</v>
      </c>
      <c r="O245" s="28" t="s">
        <v>23</v>
      </c>
      <c r="P245" s="28" t="s">
        <v>23</v>
      </c>
      <c r="Q245" s="28">
        <v>6</v>
      </c>
      <c r="R245" s="28" t="s">
        <v>31</v>
      </c>
      <c r="S245" s="28">
        <v>750</v>
      </c>
    </row>
    <row r="246" spans="1:19" x14ac:dyDescent="0.3">
      <c r="A246" s="30" t="s">
        <v>360</v>
      </c>
      <c r="B246" s="27">
        <v>45578</v>
      </c>
      <c r="C246" s="26" t="s">
        <v>159</v>
      </c>
      <c r="D246" s="26" t="s">
        <v>45</v>
      </c>
      <c r="E246" s="26" t="s">
        <v>457</v>
      </c>
      <c r="F246" s="26" t="s">
        <v>160</v>
      </c>
      <c r="G246" s="26">
        <v>77720</v>
      </c>
      <c r="H246" s="26">
        <v>54172</v>
      </c>
      <c r="I246" s="26">
        <v>60</v>
      </c>
      <c r="J246" s="26">
        <v>90</v>
      </c>
      <c r="K246" s="26">
        <v>116</v>
      </c>
      <c r="L246" s="26">
        <v>13</v>
      </c>
      <c r="M246" s="26">
        <v>5</v>
      </c>
      <c r="N246" s="26" t="s">
        <v>22</v>
      </c>
      <c r="O246" s="26" t="s">
        <v>147</v>
      </c>
      <c r="P246" s="26" t="s">
        <v>148</v>
      </c>
      <c r="Q246" s="26">
        <v>3</v>
      </c>
      <c r="R246" s="26" t="s">
        <v>31</v>
      </c>
      <c r="S246" s="26">
        <v>1000</v>
      </c>
    </row>
    <row r="247" spans="1:19" x14ac:dyDescent="0.3">
      <c r="A247" s="31" t="s">
        <v>361</v>
      </c>
      <c r="B247" s="29">
        <v>45606</v>
      </c>
      <c r="C247" s="28" t="s">
        <v>201</v>
      </c>
      <c r="D247" s="28" t="s">
        <v>27</v>
      </c>
      <c r="E247" s="28" t="s">
        <v>457</v>
      </c>
      <c r="F247" s="28" t="s">
        <v>202</v>
      </c>
      <c r="G247" s="28">
        <v>56628</v>
      </c>
      <c r="H247" s="28">
        <v>27768</v>
      </c>
      <c r="I247" s="28">
        <v>35</v>
      </c>
      <c r="J247" s="28">
        <v>148</v>
      </c>
      <c r="K247" s="28">
        <v>52</v>
      </c>
      <c r="L247" s="28">
        <v>4</v>
      </c>
      <c r="M247" s="28">
        <v>1</v>
      </c>
      <c r="N247" s="28" t="s">
        <v>22</v>
      </c>
      <c r="O247" s="28" t="s">
        <v>23</v>
      </c>
      <c r="P247" s="28" t="s">
        <v>23</v>
      </c>
      <c r="Q247" s="28">
        <v>5</v>
      </c>
      <c r="R247" s="28" t="s">
        <v>24</v>
      </c>
      <c r="S247" s="28">
        <v>300</v>
      </c>
    </row>
    <row r="248" spans="1:19" x14ac:dyDescent="0.3">
      <c r="A248" s="30" t="s">
        <v>362</v>
      </c>
      <c r="B248" s="27">
        <v>45606</v>
      </c>
      <c r="C248" s="26" t="s">
        <v>117</v>
      </c>
      <c r="D248" s="26" t="s">
        <v>49</v>
      </c>
      <c r="E248" s="26" t="s">
        <v>456</v>
      </c>
      <c r="F248" s="26" t="s">
        <v>118</v>
      </c>
      <c r="G248" s="26">
        <v>60180</v>
      </c>
      <c r="H248" s="26">
        <v>37760</v>
      </c>
      <c r="I248" s="26">
        <v>35</v>
      </c>
      <c r="J248" s="26">
        <v>149</v>
      </c>
      <c r="K248" s="26">
        <v>59</v>
      </c>
      <c r="L248" s="26">
        <v>7</v>
      </c>
      <c r="M248" s="26">
        <v>1</v>
      </c>
      <c r="N248" s="26" t="s">
        <v>22</v>
      </c>
      <c r="O248" s="26" t="s">
        <v>23</v>
      </c>
      <c r="P248" s="26" t="s">
        <v>23</v>
      </c>
      <c r="Q248" s="26">
        <v>3</v>
      </c>
      <c r="R248" s="26" t="s">
        <v>31</v>
      </c>
      <c r="S248" s="26">
        <v>300</v>
      </c>
    </row>
    <row r="249" spans="1:19" x14ac:dyDescent="0.3">
      <c r="A249" s="31" t="s">
        <v>363</v>
      </c>
      <c r="B249" s="29">
        <v>45637</v>
      </c>
      <c r="C249" s="28" t="s">
        <v>152</v>
      </c>
      <c r="D249" s="28" t="s">
        <v>114</v>
      </c>
      <c r="E249" s="28" t="s">
        <v>457</v>
      </c>
      <c r="F249" s="28" t="s">
        <v>153</v>
      </c>
      <c r="G249" s="28">
        <v>10795</v>
      </c>
      <c r="H249" s="28">
        <v>6630</v>
      </c>
      <c r="I249" s="28">
        <v>45</v>
      </c>
      <c r="J249" s="28">
        <v>11</v>
      </c>
      <c r="K249" s="28">
        <v>85</v>
      </c>
      <c r="L249" s="28">
        <v>5</v>
      </c>
      <c r="M249" s="28">
        <v>3</v>
      </c>
      <c r="N249" s="28" t="s">
        <v>36</v>
      </c>
      <c r="O249" s="28" t="s">
        <v>29</v>
      </c>
      <c r="P249" s="28" t="s">
        <v>30</v>
      </c>
      <c r="Q249" s="28">
        <v>3</v>
      </c>
      <c r="R249" s="28" t="s">
        <v>31</v>
      </c>
      <c r="S249" s="28">
        <v>0</v>
      </c>
    </row>
    <row r="250" spans="1:19" x14ac:dyDescent="0.3">
      <c r="A250" s="30" t="s">
        <v>364</v>
      </c>
      <c r="B250" s="27">
        <v>45433</v>
      </c>
      <c r="C250" s="26" t="s">
        <v>87</v>
      </c>
      <c r="D250" s="26" t="s">
        <v>45</v>
      </c>
      <c r="E250" s="26" t="s">
        <v>456</v>
      </c>
      <c r="F250" s="26" t="s">
        <v>88</v>
      </c>
      <c r="G250" s="26">
        <v>28350</v>
      </c>
      <c r="H250" s="26">
        <v>14175</v>
      </c>
      <c r="I250" s="26">
        <v>70</v>
      </c>
      <c r="J250" s="26">
        <v>42</v>
      </c>
      <c r="K250" s="26">
        <v>81</v>
      </c>
      <c r="L250" s="26">
        <v>6</v>
      </c>
      <c r="M250" s="26">
        <v>4</v>
      </c>
      <c r="N250" s="26" t="s">
        <v>36</v>
      </c>
      <c r="O250" s="26" t="s">
        <v>446</v>
      </c>
      <c r="P250" s="26" t="s">
        <v>103</v>
      </c>
      <c r="Q250" s="26">
        <v>3</v>
      </c>
      <c r="R250" s="26" t="s">
        <v>24</v>
      </c>
      <c r="S250" s="26">
        <v>300</v>
      </c>
    </row>
    <row r="251" spans="1:19" x14ac:dyDescent="0.3">
      <c r="A251" s="31" t="s">
        <v>365</v>
      </c>
      <c r="B251" s="29">
        <v>45485</v>
      </c>
      <c r="C251" s="28" t="s">
        <v>73</v>
      </c>
      <c r="D251" s="28" t="s">
        <v>74</v>
      </c>
      <c r="E251" s="26" t="s">
        <v>456</v>
      </c>
      <c r="F251" s="28" t="s">
        <v>75</v>
      </c>
      <c r="G251" s="28">
        <v>115104</v>
      </c>
      <c r="H251" s="28">
        <v>58740</v>
      </c>
      <c r="I251" s="28">
        <v>60</v>
      </c>
      <c r="J251" s="28">
        <v>128</v>
      </c>
      <c r="K251" s="28">
        <v>132</v>
      </c>
      <c r="L251" s="28">
        <v>0</v>
      </c>
      <c r="M251" s="28">
        <v>3</v>
      </c>
      <c r="N251" s="28" t="s">
        <v>41</v>
      </c>
      <c r="O251" s="28" t="s">
        <v>70</v>
      </c>
      <c r="P251" s="28" t="s">
        <v>71</v>
      </c>
      <c r="Q251" s="28">
        <v>8</v>
      </c>
      <c r="R251" s="28" t="s">
        <v>31</v>
      </c>
      <c r="S251" s="28">
        <v>0</v>
      </c>
    </row>
    <row r="252" spans="1:19" x14ac:dyDescent="0.3">
      <c r="A252" s="30" t="s">
        <v>366</v>
      </c>
      <c r="B252" s="27">
        <v>45472</v>
      </c>
      <c r="C252" s="26" t="s">
        <v>95</v>
      </c>
      <c r="D252" s="26" t="s">
        <v>49</v>
      </c>
      <c r="E252" s="28" t="s">
        <v>457</v>
      </c>
      <c r="F252" s="26" t="s">
        <v>96</v>
      </c>
      <c r="G252" s="26">
        <v>25954</v>
      </c>
      <c r="H252" s="26">
        <v>16226</v>
      </c>
      <c r="I252" s="26">
        <v>55</v>
      </c>
      <c r="J252" s="26">
        <v>67</v>
      </c>
      <c r="K252" s="26">
        <v>38</v>
      </c>
      <c r="L252" s="26">
        <v>2</v>
      </c>
      <c r="M252" s="26">
        <v>0</v>
      </c>
      <c r="N252" s="26" t="s">
        <v>22</v>
      </c>
      <c r="O252" s="26" t="s">
        <v>446</v>
      </c>
      <c r="P252" s="26" t="s">
        <v>103</v>
      </c>
      <c r="Q252" s="26">
        <v>5</v>
      </c>
      <c r="R252" s="26" t="s">
        <v>31</v>
      </c>
      <c r="S252" s="26">
        <v>1000</v>
      </c>
    </row>
    <row r="253" spans="1:19" x14ac:dyDescent="0.3">
      <c r="A253" s="31" t="s">
        <v>367</v>
      </c>
      <c r="B253" s="29">
        <v>45547</v>
      </c>
      <c r="C253" s="28" t="s">
        <v>179</v>
      </c>
      <c r="D253" s="28" t="s">
        <v>61</v>
      </c>
      <c r="E253" s="26" t="s">
        <v>456</v>
      </c>
      <c r="F253" s="28" t="s">
        <v>180</v>
      </c>
      <c r="G253" s="28">
        <v>20064</v>
      </c>
      <c r="H253" s="28">
        <v>10230</v>
      </c>
      <c r="I253" s="28">
        <v>55</v>
      </c>
      <c r="J253" s="28">
        <v>29</v>
      </c>
      <c r="K253" s="28">
        <v>66</v>
      </c>
      <c r="L253" s="28">
        <v>5</v>
      </c>
      <c r="M253" s="28">
        <v>1</v>
      </c>
      <c r="N253" s="28" t="s">
        <v>22</v>
      </c>
      <c r="O253" s="28" t="s">
        <v>29</v>
      </c>
      <c r="P253" s="28" t="s">
        <v>30</v>
      </c>
      <c r="Q253" s="28">
        <v>8</v>
      </c>
      <c r="R253" s="28" t="s">
        <v>24</v>
      </c>
      <c r="S253" s="28">
        <v>0</v>
      </c>
    </row>
    <row r="254" spans="1:19" x14ac:dyDescent="0.3">
      <c r="A254" s="30" t="s">
        <v>368</v>
      </c>
      <c r="B254" s="27">
        <v>45313</v>
      </c>
      <c r="C254" s="26" t="s">
        <v>26</v>
      </c>
      <c r="D254" s="26" t="s">
        <v>27</v>
      </c>
      <c r="E254" s="28" t="s">
        <v>457</v>
      </c>
      <c r="F254" s="26" t="s">
        <v>28</v>
      </c>
      <c r="G254" s="26">
        <v>83810</v>
      </c>
      <c r="H254" s="26">
        <v>44370</v>
      </c>
      <c r="I254" s="26">
        <v>55</v>
      </c>
      <c r="J254" s="26">
        <v>66</v>
      </c>
      <c r="K254" s="26">
        <v>145</v>
      </c>
      <c r="L254" s="26">
        <v>12</v>
      </c>
      <c r="M254" s="26">
        <v>3</v>
      </c>
      <c r="N254" s="26" t="s">
        <v>22</v>
      </c>
      <c r="O254" s="26" t="s">
        <v>447</v>
      </c>
      <c r="P254" s="26" t="s">
        <v>63</v>
      </c>
      <c r="Q254" s="26">
        <v>6</v>
      </c>
      <c r="R254" s="26" t="s">
        <v>31</v>
      </c>
      <c r="S254" s="26">
        <v>0</v>
      </c>
    </row>
    <row r="255" spans="1:19" x14ac:dyDescent="0.3">
      <c r="A255" s="31" t="s">
        <v>369</v>
      </c>
      <c r="B255" s="29">
        <v>45643</v>
      </c>
      <c r="C255" s="28" t="s">
        <v>117</v>
      </c>
      <c r="D255" s="28" t="s">
        <v>49</v>
      </c>
      <c r="E255" s="26" t="s">
        <v>456</v>
      </c>
      <c r="F255" s="28" t="s">
        <v>118</v>
      </c>
      <c r="G255" s="28">
        <v>4505</v>
      </c>
      <c r="H255" s="28">
        <v>2159</v>
      </c>
      <c r="I255" s="28">
        <v>80</v>
      </c>
      <c r="J255" s="28">
        <v>27</v>
      </c>
      <c r="K255" s="28">
        <v>17</v>
      </c>
      <c r="L255" s="28">
        <v>2</v>
      </c>
      <c r="M255" s="28">
        <v>0</v>
      </c>
      <c r="N255" s="28" t="s">
        <v>41</v>
      </c>
      <c r="O255" s="28" t="s">
        <v>446</v>
      </c>
      <c r="P255" s="28" t="s">
        <v>103</v>
      </c>
      <c r="Q255" s="28">
        <v>7</v>
      </c>
      <c r="R255" s="28" t="s">
        <v>24</v>
      </c>
      <c r="S255" s="28">
        <v>500</v>
      </c>
    </row>
    <row r="256" spans="1:19" x14ac:dyDescent="0.3">
      <c r="A256" s="30" t="s">
        <v>370</v>
      </c>
      <c r="B256" s="27">
        <v>45429</v>
      </c>
      <c r="C256" s="26" t="s">
        <v>60</v>
      </c>
      <c r="D256" s="26" t="s">
        <v>61</v>
      </c>
      <c r="E256" s="28" t="s">
        <v>457</v>
      </c>
      <c r="F256" s="26" t="s">
        <v>62</v>
      </c>
      <c r="G256" s="26">
        <v>48280</v>
      </c>
      <c r="H256" s="26">
        <v>25840</v>
      </c>
      <c r="I256" s="26">
        <v>45</v>
      </c>
      <c r="J256" s="26">
        <v>82</v>
      </c>
      <c r="K256" s="26">
        <v>68</v>
      </c>
      <c r="L256" s="26">
        <v>5</v>
      </c>
      <c r="M256" s="26">
        <v>2</v>
      </c>
      <c r="N256" s="26" t="s">
        <v>41</v>
      </c>
      <c r="O256" s="26" t="s">
        <v>445</v>
      </c>
      <c r="P256" s="26" t="s">
        <v>42</v>
      </c>
      <c r="Q256" s="26">
        <v>4</v>
      </c>
      <c r="R256" s="26" t="s">
        <v>31</v>
      </c>
      <c r="S256" s="26">
        <v>300</v>
      </c>
    </row>
    <row r="257" spans="1:19" x14ac:dyDescent="0.3">
      <c r="A257" s="31" t="s">
        <v>371</v>
      </c>
      <c r="B257" s="29">
        <v>45430</v>
      </c>
      <c r="C257" s="28" t="s">
        <v>39</v>
      </c>
      <c r="D257" s="28" t="s">
        <v>20</v>
      </c>
      <c r="E257" s="26" t="s">
        <v>456</v>
      </c>
      <c r="F257" s="28" t="s">
        <v>40</v>
      </c>
      <c r="G257" s="28">
        <v>18232</v>
      </c>
      <c r="H257" s="28">
        <v>12084</v>
      </c>
      <c r="I257" s="28">
        <v>50</v>
      </c>
      <c r="J257" s="28">
        <v>31</v>
      </c>
      <c r="K257" s="28">
        <v>53</v>
      </c>
      <c r="L257" s="28">
        <v>6</v>
      </c>
      <c r="M257" s="28">
        <v>0</v>
      </c>
      <c r="N257" s="28" t="s">
        <v>22</v>
      </c>
      <c r="O257" s="28" t="s">
        <v>147</v>
      </c>
      <c r="P257" s="28" t="s">
        <v>148</v>
      </c>
      <c r="Q257" s="28">
        <v>8</v>
      </c>
      <c r="R257" s="28" t="s">
        <v>31</v>
      </c>
      <c r="S257" s="28">
        <v>1000</v>
      </c>
    </row>
    <row r="258" spans="1:19" x14ac:dyDescent="0.3">
      <c r="A258" s="30" t="s">
        <v>372</v>
      </c>
      <c r="B258" s="27">
        <v>45420</v>
      </c>
      <c r="C258" s="26" t="s">
        <v>65</v>
      </c>
      <c r="D258" s="26" t="s">
        <v>34</v>
      </c>
      <c r="E258" s="28" t="s">
        <v>457</v>
      </c>
      <c r="F258" s="26" t="s">
        <v>35</v>
      </c>
      <c r="G258" s="26">
        <v>22920</v>
      </c>
      <c r="H258" s="26">
        <v>10590</v>
      </c>
      <c r="I258" s="26">
        <v>40</v>
      </c>
      <c r="J258" s="26">
        <v>98</v>
      </c>
      <c r="K258" s="26">
        <v>30</v>
      </c>
      <c r="L258" s="26">
        <v>2</v>
      </c>
      <c r="M258" s="26">
        <v>1</v>
      </c>
      <c r="N258" s="26" t="s">
        <v>36</v>
      </c>
      <c r="O258" s="26" t="s">
        <v>446</v>
      </c>
      <c r="P258" s="26" t="s">
        <v>103</v>
      </c>
      <c r="Q258" s="26">
        <v>5</v>
      </c>
      <c r="R258" s="26" t="s">
        <v>24</v>
      </c>
      <c r="S258" s="26">
        <v>1000</v>
      </c>
    </row>
    <row r="259" spans="1:19" x14ac:dyDescent="0.3">
      <c r="A259" s="31" t="s">
        <v>373</v>
      </c>
      <c r="B259" s="29">
        <v>45302</v>
      </c>
      <c r="C259" s="28" t="s">
        <v>87</v>
      </c>
      <c r="D259" s="28" t="s">
        <v>45</v>
      </c>
      <c r="E259" s="26" t="s">
        <v>456</v>
      </c>
      <c r="F259" s="28" t="s">
        <v>88</v>
      </c>
      <c r="G259" s="28">
        <v>83984</v>
      </c>
      <c r="H259" s="28">
        <v>55929</v>
      </c>
      <c r="I259" s="28">
        <v>50</v>
      </c>
      <c r="J259" s="28">
        <v>56</v>
      </c>
      <c r="K259" s="28">
        <v>181</v>
      </c>
      <c r="L259" s="28">
        <v>17</v>
      </c>
      <c r="M259" s="28">
        <v>2</v>
      </c>
      <c r="N259" s="28" t="s">
        <v>22</v>
      </c>
      <c r="O259" s="28" t="s">
        <v>446</v>
      </c>
      <c r="P259" s="28" t="s">
        <v>103</v>
      </c>
      <c r="Q259" s="28">
        <v>8</v>
      </c>
      <c r="R259" s="28" t="s">
        <v>31</v>
      </c>
      <c r="S259" s="28">
        <v>500</v>
      </c>
    </row>
    <row r="260" spans="1:19" x14ac:dyDescent="0.3">
      <c r="A260" s="30" t="s">
        <v>374</v>
      </c>
      <c r="B260" s="27">
        <v>45606</v>
      </c>
      <c r="C260" s="26" t="s">
        <v>105</v>
      </c>
      <c r="D260" s="26" t="s">
        <v>49</v>
      </c>
      <c r="E260" s="28" t="s">
        <v>457</v>
      </c>
      <c r="F260" s="26" t="s">
        <v>106</v>
      </c>
      <c r="G260" s="26">
        <v>40299</v>
      </c>
      <c r="H260" s="26">
        <v>27775</v>
      </c>
      <c r="I260" s="26">
        <v>45</v>
      </c>
      <c r="J260" s="26">
        <v>50</v>
      </c>
      <c r="K260" s="26">
        <v>101</v>
      </c>
      <c r="L260" s="26">
        <v>10</v>
      </c>
      <c r="M260" s="26">
        <v>4</v>
      </c>
      <c r="N260" s="26" t="s">
        <v>41</v>
      </c>
      <c r="O260" s="26" t="s">
        <v>29</v>
      </c>
      <c r="P260" s="26" t="s">
        <v>30</v>
      </c>
      <c r="Q260" s="26">
        <v>4</v>
      </c>
      <c r="R260" s="26" t="s">
        <v>31</v>
      </c>
      <c r="S260" s="26">
        <v>0</v>
      </c>
    </row>
    <row r="261" spans="1:19" x14ac:dyDescent="0.3">
      <c r="A261" s="31" t="s">
        <v>375</v>
      </c>
      <c r="B261" s="29">
        <v>45655</v>
      </c>
      <c r="C261" s="28" t="s">
        <v>135</v>
      </c>
      <c r="D261" s="28" t="s">
        <v>34</v>
      </c>
      <c r="E261" s="26" t="s">
        <v>456</v>
      </c>
      <c r="F261" s="28" t="s">
        <v>136</v>
      </c>
      <c r="G261" s="28">
        <v>44940</v>
      </c>
      <c r="H261" s="28">
        <v>24717</v>
      </c>
      <c r="I261" s="28">
        <v>80</v>
      </c>
      <c r="J261" s="28">
        <v>57</v>
      </c>
      <c r="K261" s="28">
        <v>107</v>
      </c>
      <c r="L261" s="28">
        <v>8</v>
      </c>
      <c r="M261" s="28">
        <v>3</v>
      </c>
      <c r="N261" s="28" t="s">
        <v>41</v>
      </c>
      <c r="O261" s="28" t="s">
        <v>444</v>
      </c>
      <c r="P261" s="28" t="s">
        <v>37</v>
      </c>
      <c r="Q261" s="28">
        <v>4</v>
      </c>
      <c r="R261" s="28" t="s">
        <v>31</v>
      </c>
      <c r="S261" s="28">
        <v>100</v>
      </c>
    </row>
    <row r="262" spans="1:19" x14ac:dyDescent="0.3">
      <c r="A262" s="30" t="s">
        <v>376</v>
      </c>
      <c r="B262" s="27">
        <v>45377</v>
      </c>
      <c r="C262" s="26" t="s">
        <v>127</v>
      </c>
      <c r="D262" s="26" t="s">
        <v>61</v>
      </c>
      <c r="E262" s="28" t="s">
        <v>456</v>
      </c>
      <c r="F262" s="26" t="s">
        <v>128</v>
      </c>
      <c r="G262" s="26">
        <v>9660</v>
      </c>
      <c r="H262" s="26">
        <v>4494</v>
      </c>
      <c r="I262" s="26">
        <v>80</v>
      </c>
      <c r="J262" s="26">
        <v>54</v>
      </c>
      <c r="K262" s="26">
        <v>21</v>
      </c>
      <c r="L262" s="26">
        <v>2</v>
      </c>
      <c r="M262" s="26">
        <v>0</v>
      </c>
      <c r="N262" s="26" t="s">
        <v>36</v>
      </c>
      <c r="O262" s="26" t="s">
        <v>29</v>
      </c>
      <c r="P262" s="26" t="s">
        <v>30</v>
      </c>
      <c r="Q262" s="26">
        <v>8</v>
      </c>
      <c r="R262" s="26" t="s">
        <v>31</v>
      </c>
      <c r="S262" s="26">
        <v>100</v>
      </c>
    </row>
    <row r="263" spans="1:19" x14ac:dyDescent="0.3">
      <c r="A263" s="31" t="s">
        <v>377</v>
      </c>
      <c r="B263" s="29">
        <v>45518</v>
      </c>
      <c r="C263" s="28" t="s">
        <v>135</v>
      </c>
      <c r="D263" s="28" t="s">
        <v>34</v>
      </c>
      <c r="E263" s="26" t="s">
        <v>456</v>
      </c>
      <c r="F263" s="28" t="s">
        <v>136</v>
      </c>
      <c r="G263" s="28">
        <v>160448</v>
      </c>
      <c r="H263" s="28">
        <v>93288</v>
      </c>
      <c r="I263" s="28">
        <v>45</v>
      </c>
      <c r="J263" s="28">
        <v>72</v>
      </c>
      <c r="K263" s="28">
        <v>184</v>
      </c>
      <c r="L263" s="28">
        <v>10</v>
      </c>
      <c r="M263" s="28">
        <v>7</v>
      </c>
      <c r="N263" s="28" t="s">
        <v>41</v>
      </c>
      <c r="O263" s="28" t="s">
        <v>147</v>
      </c>
      <c r="P263" s="28" t="s">
        <v>148</v>
      </c>
      <c r="Q263" s="28">
        <v>8</v>
      </c>
      <c r="R263" s="28" t="s">
        <v>31</v>
      </c>
      <c r="S263" s="28">
        <v>1000</v>
      </c>
    </row>
    <row r="264" spans="1:19" x14ac:dyDescent="0.3">
      <c r="A264" s="30" t="s">
        <v>378</v>
      </c>
      <c r="B264" s="27">
        <v>45560</v>
      </c>
      <c r="C264" s="26" t="s">
        <v>48</v>
      </c>
      <c r="D264" s="26" t="s">
        <v>49</v>
      </c>
      <c r="E264" s="28" t="s">
        <v>457</v>
      </c>
      <c r="F264" s="26" t="s">
        <v>50</v>
      </c>
      <c r="G264" s="26">
        <v>77672</v>
      </c>
      <c r="H264" s="26">
        <v>40953</v>
      </c>
      <c r="I264" s="26">
        <v>60</v>
      </c>
      <c r="J264" s="26">
        <v>121</v>
      </c>
      <c r="K264" s="26">
        <v>73</v>
      </c>
      <c r="L264" s="26">
        <v>7</v>
      </c>
      <c r="M264" s="26">
        <v>2</v>
      </c>
      <c r="N264" s="26" t="s">
        <v>22</v>
      </c>
      <c r="O264" s="26" t="s">
        <v>147</v>
      </c>
      <c r="P264" s="26" t="s">
        <v>148</v>
      </c>
      <c r="Q264" s="26">
        <v>5</v>
      </c>
      <c r="R264" s="26" t="s">
        <v>31</v>
      </c>
      <c r="S264" s="26">
        <v>300</v>
      </c>
    </row>
    <row r="265" spans="1:19" x14ac:dyDescent="0.3">
      <c r="A265" s="31" t="s">
        <v>379</v>
      </c>
      <c r="B265" s="29">
        <v>45438</v>
      </c>
      <c r="C265" s="28" t="s">
        <v>87</v>
      </c>
      <c r="D265" s="28" t="s">
        <v>45</v>
      </c>
      <c r="E265" s="26" t="s">
        <v>456</v>
      </c>
      <c r="F265" s="28" t="s">
        <v>88</v>
      </c>
      <c r="G265" s="28">
        <v>84255</v>
      </c>
      <c r="H265" s="28">
        <v>52334</v>
      </c>
      <c r="I265" s="28">
        <v>80</v>
      </c>
      <c r="J265" s="28">
        <v>90</v>
      </c>
      <c r="K265" s="28">
        <v>137</v>
      </c>
      <c r="L265" s="28">
        <v>0</v>
      </c>
      <c r="M265" s="28">
        <v>6</v>
      </c>
      <c r="N265" s="28" t="s">
        <v>41</v>
      </c>
      <c r="O265" s="28" t="s">
        <v>444</v>
      </c>
      <c r="P265" s="28" t="s">
        <v>37</v>
      </c>
      <c r="Q265" s="28">
        <v>7</v>
      </c>
      <c r="R265" s="28" t="s">
        <v>31</v>
      </c>
      <c r="S265" s="28">
        <v>200</v>
      </c>
    </row>
    <row r="266" spans="1:19" x14ac:dyDescent="0.3">
      <c r="A266" s="30" t="s">
        <v>380</v>
      </c>
      <c r="B266" s="27">
        <v>45419</v>
      </c>
      <c r="C266" s="26" t="s">
        <v>117</v>
      </c>
      <c r="D266" s="26" t="s">
        <v>49</v>
      </c>
      <c r="E266" s="28" t="s">
        <v>457</v>
      </c>
      <c r="F266" s="26" t="s">
        <v>118</v>
      </c>
      <c r="G266" s="26">
        <v>10185</v>
      </c>
      <c r="H266" s="26">
        <v>6230</v>
      </c>
      <c r="I266" s="26">
        <v>70</v>
      </c>
      <c r="J266" s="26">
        <v>28</v>
      </c>
      <c r="K266" s="26">
        <v>35</v>
      </c>
      <c r="L266" s="26">
        <v>1</v>
      </c>
      <c r="M266" s="26">
        <v>1</v>
      </c>
      <c r="N266" s="26" t="s">
        <v>41</v>
      </c>
      <c r="O266" s="26" t="s">
        <v>23</v>
      </c>
      <c r="P266" s="26" t="s">
        <v>23</v>
      </c>
      <c r="Q266" s="26">
        <v>3</v>
      </c>
      <c r="R266" s="26" t="s">
        <v>31</v>
      </c>
      <c r="S266" s="26">
        <v>750</v>
      </c>
    </row>
    <row r="267" spans="1:19" x14ac:dyDescent="0.3">
      <c r="A267" s="31" t="s">
        <v>381</v>
      </c>
      <c r="B267" s="29">
        <v>45608</v>
      </c>
      <c r="C267" s="28" t="s">
        <v>77</v>
      </c>
      <c r="D267" s="28" t="s">
        <v>74</v>
      </c>
      <c r="E267" s="26" t="s">
        <v>456</v>
      </c>
      <c r="F267" s="28" t="s">
        <v>78</v>
      </c>
      <c r="G267" s="28">
        <v>29468</v>
      </c>
      <c r="H267" s="28">
        <v>17861</v>
      </c>
      <c r="I267" s="28">
        <v>50</v>
      </c>
      <c r="J267" s="28">
        <v>57</v>
      </c>
      <c r="K267" s="28">
        <v>53</v>
      </c>
      <c r="L267" s="28">
        <v>4</v>
      </c>
      <c r="M267" s="28">
        <v>0</v>
      </c>
      <c r="N267" s="28" t="s">
        <v>22</v>
      </c>
      <c r="O267" s="28" t="s">
        <v>97</v>
      </c>
      <c r="P267" s="28" t="s">
        <v>98</v>
      </c>
      <c r="Q267" s="28">
        <v>4</v>
      </c>
      <c r="R267" s="28" t="s">
        <v>24</v>
      </c>
      <c r="S267" s="28">
        <v>300</v>
      </c>
    </row>
    <row r="268" spans="1:19" x14ac:dyDescent="0.3">
      <c r="A268" s="30" t="s">
        <v>382</v>
      </c>
      <c r="B268" s="27">
        <v>45369</v>
      </c>
      <c r="C268" s="26" t="s">
        <v>121</v>
      </c>
      <c r="D268" s="26" t="s">
        <v>20</v>
      </c>
      <c r="E268" s="28" t="s">
        <v>457</v>
      </c>
      <c r="F268" s="26" t="s">
        <v>109</v>
      </c>
      <c r="G268" s="26">
        <v>19028</v>
      </c>
      <c r="H268" s="26">
        <v>10224</v>
      </c>
      <c r="I268" s="26">
        <v>55</v>
      </c>
      <c r="J268" s="26">
        <v>18</v>
      </c>
      <c r="K268" s="26">
        <v>142</v>
      </c>
      <c r="L268" s="26">
        <v>14</v>
      </c>
      <c r="M268" s="26">
        <v>0</v>
      </c>
      <c r="N268" s="26" t="s">
        <v>22</v>
      </c>
      <c r="O268" s="26" t="s">
        <v>444</v>
      </c>
      <c r="P268" s="26" t="s">
        <v>37</v>
      </c>
      <c r="Q268" s="26">
        <v>5</v>
      </c>
      <c r="R268" s="26" t="s">
        <v>24</v>
      </c>
      <c r="S268" s="26">
        <v>100</v>
      </c>
    </row>
    <row r="269" spans="1:19" x14ac:dyDescent="0.3">
      <c r="A269" s="31" t="s">
        <v>383</v>
      </c>
      <c r="B269" s="29">
        <v>45390</v>
      </c>
      <c r="C269" s="28" t="s">
        <v>279</v>
      </c>
      <c r="D269" s="28" t="s">
        <v>114</v>
      </c>
      <c r="E269" s="26" t="s">
        <v>456</v>
      </c>
      <c r="F269" s="28" t="s">
        <v>280</v>
      </c>
      <c r="G269" s="28">
        <v>89044</v>
      </c>
      <c r="H269" s="28">
        <v>58509</v>
      </c>
      <c r="I269" s="28">
        <v>40</v>
      </c>
      <c r="J269" s="28">
        <v>67</v>
      </c>
      <c r="K269" s="28">
        <v>197</v>
      </c>
      <c r="L269" s="28">
        <v>12</v>
      </c>
      <c r="M269" s="28">
        <v>7</v>
      </c>
      <c r="N269" s="28" t="s">
        <v>22</v>
      </c>
      <c r="O269" s="28" t="s">
        <v>445</v>
      </c>
      <c r="P269" s="28" t="s">
        <v>42</v>
      </c>
      <c r="Q269" s="28">
        <v>8</v>
      </c>
      <c r="R269" s="28" t="s">
        <v>24</v>
      </c>
      <c r="S269" s="28">
        <v>200</v>
      </c>
    </row>
    <row r="270" spans="1:19" x14ac:dyDescent="0.3">
      <c r="A270" s="30" t="s">
        <v>384</v>
      </c>
      <c r="B270" s="27">
        <v>45640</v>
      </c>
      <c r="C270" s="26" t="s">
        <v>105</v>
      </c>
      <c r="D270" s="26" t="s">
        <v>49</v>
      </c>
      <c r="E270" s="28" t="s">
        <v>457</v>
      </c>
      <c r="F270" s="26" t="s">
        <v>106</v>
      </c>
      <c r="G270" s="26">
        <v>72850</v>
      </c>
      <c r="H270" s="26">
        <v>35650</v>
      </c>
      <c r="I270" s="26">
        <v>35</v>
      </c>
      <c r="J270" s="26">
        <v>62</v>
      </c>
      <c r="K270" s="26">
        <v>155</v>
      </c>
      <c r="L270" s="26">
        <v>3</v>
      </c>
      <c r="M270" s="26">
        <v>4</v>
      </c>
      <c r="N270" s="26" t="s">
        <v>41</v>
      </c>
      <c r="O270" s="26" t="s">
        <v>446</v>
      </c>
      <c r="P270" s="26" t="s">
        <v>103</v>
      </c>
      <c r="Q270" s="26">
        <v>3</v>
      </c>
      <c r="R270" s="26" t="s">
        <v>31</v>
      </c>
      <c r="S270" s="26">
        <v>200</v>
      </c>
    </row>
    <row r="271" spans="1:19" x14ac:dyDescent="0.3">
      <c r="A271" s="31" t="s">
        <v>385</v>
      </c>
      <c r="B271" s="29">
        <v>45458</v>
      </c>
      <c r="C271" s="28" t="s">
        <v>48</v>
      </c>
      <c r="D271" s="28" t="s">
        <v>49</v>
      </c>
      <c r="E271" s="26" t="s">
        <v>456</v>
      </c>
      <c r="F271" s="28" t="s">
        <v>50</v>
      </c>
      <c r="G271" s="28">
        <v>9086</v>
      </c>
      <c r="H271" s="28">
        <v>4697</v>
      </c>
      <c r="I271" s="28">
        <v>40</v>
      </c>
      <c r="J271" s="28">
        <v>13</v>
      </c>
      <c r="K271" s="28">
        <v>77</v>
      </c>
      <c r="L271" s="28">
        <v>0</v>
      </c>
      <c r="M271" s="28">
        <v>3</v>
      </c>
      <c r="N271" s="28" t="s">
        <v>22</v>
      </c>
      <c r="O271" s="28" t="s">
        <v>29</v>
      </c>
      <c r="P271" s="28" t="s">
        <v>30</v>
      </c>
      <c r="Q271" s="28">
        <v>4</v>
      </c>
      <c r="R271" s="28" t="s">
        <v>31</v>
      </c>
      <c r="S271" s="28">
        <v>500</v>
      </c>
    </row>
    <row r="272" spans="1:19" x14ac:dyDescent="0.3">
      <c r="A272" s="30" t="s">
        <v>386</v>
      </c>
      <c r="B272" s="27">
        <v>45322</v>
      </c>
      <c r="C272" s="26" t="s">
        <v>80</v>
      </c>
      <c r="D272" s="26" t="s">
        <v>20</v>
      </c>
      <c r="E272" s="28" t="s">
        <v>457</v>
      </c>
      <c r="F272" s="26" t="s">
        <v>81</v>
      </c>
      <c r="G272" s="26">
        <v>36778</v>
      </c>
      <c r="H272" s="26">
        <v>23014</v>
      </c>
      <c r="I272" s="26">
        <v>40</v>
      </c>
      <c r="J272" s="26">
        <v>44</v>
      </c>
      <c r="K272" s="26">
        <v>74</v>
      </c>
      <c r="L272" s="26">
        <v>8</v>
      </c>
      <c r="M272" s="26">
        <v>2</v>
      </c>
      <c r="N272" s="26" t="s">
        <v>36</v>
      </c>
      <c r="O272" s="26" t="s">
        <v>444</v>
      </c>
      <c r="P272" s="26" t="s">
        <v>37</v>
      </c>
      <c r="Q272" s="26">
        <v>8</v>
      </c>
      <c r="R272" s="26" t="s">
        <v>31</v>
      </c>
      <c r="S272" s="26">
        <v>200</v>
      </c>
    </row>
    <row r="273" spans="1:19" x14ac:dyDescent="0.3">
      <c r="A273" s="31" t="s">
        <v>387</v>
      </c>
      <c r="B273" s="29">
        <v>45540</v>
      </c>
      <c r="C273" s="28" t="s">
        <v>206</v>
      </c>
      <c r="D273" s="28" t="s">
        <v>20</v>
      </c>
      <c r="E273" s="26" t="s">
        <v>456</v>
      </c>
      <c r="F273" s="28" t="s">
        <v>207</v>
      </c>
      <c r="G273" s="28">
        <v>38440</v>
      </c>
      <c r="H273" s="28">
        <v>22506</v>
      </c>
      <c r="I273" s="28">
        <v>80</v>
      </c>
      <c r="J273" s="28">
        <v>58</v>
      </c>
      <c r="K273" s="28">
        <v>62</v>
      </c>
      <c r="L273" s="28">
        <v>5</v>
      </c>
      <c r="M273" s="28">
        <v>2</v>
      </c>
      <c r="N273" s="28" t="s">
        <v>22</v>
      </c>
      <c r="O273" s="28" t="s">
        <v>51</v>
      </c>
      <c r="P273" s="28" t="s">
        <v>52</v>
      </c>
      <c r="Q273" s="28">
        <v>7</v>
      </c>
      <c r="R273" s="28" t="s">
        <v>31</v>
      </c>
      <c r="S273" s="28">
        <v>300</v>
      </c>
    </row>
    <row r="274" spans="1:19" x14ac:dyDescent="0.3">
      <c r="A274" s="30" t="s">
        <v>388</v>
      </c>
      <c r="B274" s="27">
        <v>45443</v>
      </c>
      <c r="C274" s="26" t="s">
        <v>73</v>
      </c>
      <c r="D274" s="26" t="s">
        <v>74</v>
      </c>
      <c r="E274" s="28" t="s">
        <v>456</v>
      </c>
      <c r="F274" s="26" t="s">
        <v>75</v>
      </c>
      <c r="G274" s="26">
        <v>7809</v>
      </c>
      <c r="H274" s="26">
        <v>4408</v>
      </c>
      <c r="I274" s="26">
        <v>70</v>
      </c>
      <c r="J274" s="26">
        <v>54</v>
      </c>
      <c r="K274" s="26">
        <v>19</v>
      </c>
      <c r="L274" s="26">
        <v>1</v>
      </c>
      <c r="M274" s="26">
        <v>0</v>
      </c>
      <c r="N274" s="26" t="s">
        <v>22</v>
      </c>
      <c r="O274" s="26" t="s">
        <v>23</v>
      </c>
      <c r="P274" s="26" t="s">
        <v>23</v>
      </c>
      <c r="Q274" s="26">
        <v>7</v>
      </c>
      <c r="R274" s="26" t="s">
        <v>24</v>
      </c>
      <c r="S274" s="26">
        <v>750</v>
      </c>
    </row>
    <row r="275" spans="1:19" x14ac:dyDescent="0.3">
      <c r="A275" s="31" t="s">
        <v>389</v>
      </c>
      <c r="B275" s="29">
        <v>45457</v>
      </c>
      <c r="C275" s="28" t="s">
        <v>135</v>
      </c>
      <c r="D275" s="28" t="s">
        <v>34</v>
      </c>
      <c r="E275" s="26" t="s">
        <v>457</v>
      </c>
      <c r="F275" s="28" t="s">
        <v>136</v>
      </c>
      <c r="G275" s="28">
        <v>27216</v>
      </c>
      <c r="H275" s="28">
        <v>13008</v>
      </c>
      <c r="I275" s="28">
        <v>40</v>
      </c>
      <c r="J275" s="28">
        <v>47</v>
      </c>
      <c r="K275" s="28">
        <v>48</v>
      </c>
      <c r="L275" s="28">
        <v>0</v>
      </c>
      <c r="M275" s="28">
        <v>0</v>
      </c>
      <c r="N275" s="28" t="s">
        <v>41</v>
      </c>
      <c r="O275" s="28" t="s">
        <v>29</v>
      </c>
      <c r="P275" s="28" t="s">
        <v>30</v>
      </c>
      <c r="Q275" s="28">
        <v>3</v>
      </c>
      <c r="R275" s="28" t="s">
        <v>31</v>
      </c>
      <c r="S275" s="28">
        <v>200</v>
      </c>
    </row>
    <row r="276" spans="1:19" x14ac:dyDescent="0.3">
      <c r="A276" s="30" t="s">
        <v>390</v>
      </c>
      <c r="B276" s="27">
        <v>45611</v>
      </c>
      <c r="C276" s="26" t="s">
        <v>54</v>
      </c>
      <c r="D276" s="26" t="s">
        <v>27</v>
      </c>
      <c r="E276" s="28" t="s">
        <v>457</v>
      </c>
      <c r="F276" s="26" t="s">
        <v>55</v>
      </c>
      <c r="G276" s="26">
        <v>54264</v>
      </c>
      <c r="H276" s="26">
        <v>29376</v>
      </c>
      <c r="I276" s="26">
        <v>40</v>
      </c>
      <c r="J276" s="26">
        <v>65</v>
      </c>
      <c r="K276" s="26">
        <v>68</v>
      </c>
      <c r="L276" s="26">
        <v>7</v>
      </c>
      <c r="M276" s="26">
        <v>0</v>
      </c>
      <c r="N276" s="26" t="s">
        <v>36</v>
      </c>
      <c r="O276" s="26" t="s">
        <v>447</v>
      </c>
      <c r="P276" s="26" t="s">
        <v>63</v>
      </c>
      <c r="Q276" s="26">
        <v>8</v>
      </c>
      <c r="R276" s="26" t="s">
        <v>24</v>
      </c>
      <c r="S276" s="26">
        <v>500</v>
      </c>
    </row>
    <row r="277" spans="1:19" x14ac:dyDescent="0.3">
      <c r="A277" s="31" t="s">
        <v>391</v>
      </c>
      <c r="B277" s="29">
        <v>45312</v>
      </c>
      <c r="C277" s="28" t="s">
        <v>54</v>
      </c>
      <c r="D277" s="28" t="s">
        <v>27</v>
      </c>
      <c r="E277" s="26" t="s">
        <v>456</v>
      </c>
      <c r="F277" s="28" t="s">
        <v>55</v>
      </c>
      <c r="G277" s="28">
        <v>8853</v>
      </c>
      <c r="H277" s="28">
        <v>4173</v>
      </c>
      <c r="I277" s="28">
        <v>50</v>
      </c>
      <c r="J277" s="28">
        <v>33</v>
      </c>
      <c r="K277" s="28">
        <v>39</v>
      </c>
      <c r="L277" s="28">
        <v>1</v>
      </c>
      <c r="M277" s="28">
        <v>1</v>
      </c>
      <c r="N277" s="28" t="s">
        <v>22</v>
      </c>
      <c r="O277" s="28" t="s">
        <v>51</v>
      </c>
      <c r="P277" s="28" t="s">
        <v>52</v>
      </c>
      <c r="Q277" s="28">
        <v>8</v>
      </c>
      <c r="R277" s="28" t="s">
        <v>31</v>
      </c>
      <c r="S277" s="28">
        <v>200</v>
      </c>
    </row>
    <row r="278" spans="1:19" x14ac:dyDescent="0.3">
      <c r="A278" s="30" t="s">
        <v>392</v>
      </c>
      <c r="B278" s="27">
        <v>45618</v>
      </c>
      <c r="C278" s="26" t="s">
        <v>39</v>
      </c>
      <c r="D278" s="26" t="s">
        <v>20</v>
      </c>
      <c r="E278" s="28" t="s">
        <v>457</v>
      </c>
      <c r="F278" s="26" t="s">
        <v>40</v>
      </c>
      <c r="G278" s="26">
        <v>47367</v>
      </c>
      <c r="H278" s="26">
        <v>26733</v>
      </c>
      <c r="I278" s="26">
        <v>70</v>
      </c>
      <c r="J278" s="26">
        <v>118</v>
      </c>
      <c r="K278" s="26">
        <v>57</v>
      </c>
      <c r="L278" s="26">
        <v>4</v>
      </c>
      <c r="M278" s="26">
        <v>1</v>
      </c>
      <c r="N278" s="26" t="s">
        <v>36</v>
      </c>
      <c r="O278" s="26" t="s">
        <v>447</v>
      </c>
      <c r="P278" s="26" t="s">
        <v>63</v>
      </c>
      <c r="Q278" s="26">
        <v>7</v>
      </c>
      <c r="R278" s="26" t="s">
        <v>31</v>
      </c>
      <c r="S278" s="26">
        <v>100</v>
      </c>
    </row>
    <row r="279" spans="1:19" x14ac:dyDescent="0.3">
      <c r="A279" s="31" t="s">
        <v>393</v>
      </c>
      <c r="B279" s="29">
        <v>45503</v>
      </c>
      <c r="C279" s="28" t="s">
        <v>159</v>
      </c>
      <c r="D279" s="28" t="s">
        <v>45</v>
      </c>
      <c r="E279" s="26" t="s">
        <v>456</v>
      </c>
      <c r="F279" s="28" t="s">
        <v>160</v>
      </c>
      <c r="G279" s="28">
        <v>68034</v>
      </c>
      <c r="H279" s="28">
        <v>42987</v>
      </c>
      <c r="I279" s="28">
        <v>50</v>
      </c>
      <c r="J279" s="28">
        <v>118</v>
      </c>
      <c r="K279" s="28">
        <v>69</v>
      </c>
      <c r="L279" s="28">
        <v>8</v>
      </c>
      <c r="M279" s="28">
        <v>2</v>
      </c>
      <c r="N279" s="28" t="s">
        <v>22</v>
      </c>
      <c r="O279" s="28" t="s">
        <v>70</v>
      </c>
      <c r="P279" s="28" t="s">
        <v>71</v>
      </c>
      <c r="Q279" s="28">
        <v>3</v>
      </c>
      <c r="R279" s="28" t="s">
        <v>31</v>
      </c>
      <c r="S279" s="28">
        <v>1000</v>
      </c>
    </row>
    <row r="280" spans="1:19" x14ac:dyDescent="0.3">
      <c r="A280" s="30" t="s">
        <v>394</v>
      </c>
      <c r="B280" s="27">
        <v>45361</v>
      </c>
      <c r="C280" s="26" t="s">
        <v>54</v>
      </c>
      <c r="D280" s="26" t="s">
        <v>27</v>
      </c>
      <c r="E280" s="26" t="s">
        <v>456</v>
      </c>
      <c r="F280" s="26" t="s">
        <v>55</v>
      </c>
      <c r="G280" s="26">
        <v>6600</v>
      </c>
      <c r="H280" s="26">
        <v>4600</v>
      </c>
      <c r="I280" s="26">
        <v>50</v>
      </c>
      <c r="J280" s="26">
        <v>46</v>
      </c>
      <c r="K280" s="26">
        <v>20</v>
      </c>
      <c r="L280" s="26">
        <v>2</v>
      </c>
      <c r="M280" s="26">
        <v>0</v>
      </c>
      <c r="N280" s="26" t="s">
        <v>36</v>
      </c>
      <c r="O280" s="26" t="s">
        <v>446</v>
      </c>
      <c r="P280" s="26" t="s">
        <v>103</v>
      </c>
      <c r="Q280" s="26">
        <v>4</v>
      </c>
      <c r="R280" s="26" t="s">
        <v>24</v>
      </c>
      <c r="S280" s="26">
        <v>1000</v>
      </c>
    </row>
    <row r="281" spans="1:19" x14ac:dyDescent="0.3">
      <c r="A281" s="31" t="s">
        <v>395</v>
      </c>
      <c r="B281" s="29">
        <v>45423</v>
      </c>
      <c r="C281" s="28" t="s">
        <v>188</v>
      </c>
      <c r="D281" s="28" t="s">
        <v>61</v>
      </c>
      <c r="E281" s="28" t="s">
        <v>457</v>
      </c>
      <c r="F281" s="28" t="s">
        <v>189</v>
      </c>
      <c r="G281" s="28">
        <v>68600</v>
      </c>
      <c r="H281" s="28">
        <v>37800</v>
      </c>
      <c r="I281" s="28">
        <v>50</v>
      </c>
      <c r="J281" s="28">
        <v>45</v>
      </c>
      <c r="K281" s="28">
        <v>200</v>
      </c>
      <c r="L281" s="28">
        <v>15</v>
      </c>
      <c r="M281" s="28">
        <v>2</v>
      </c>
      <c r="N281" s="28" t="s">
        <v>22</v>
      </c>
      <c r="O281" s="28" t="s">
        <v>444</v>
      </c>
      <c r="P281" s="28" t="s">
        <v>37</v>
      </c>
      <c r="Q281" s="28">
        <v>8</v>
      </c>
      <c r="R281" s="28" t="s">
        <v>24</v>
      </c>
      <c r="S281" s="28">
        <v>300</v>
      </c>
    </row>
    <row r="282" spans="1:19" x14ac:dyDescent="0.3">
      <c r="A282" s="30" t="s">
        <v>396</v>
      </c>
      <c r="B282" s="27">
        <v>45470</v>
      </c>
      <c r="C282" s="26" t="s">
        <v>223</v>
      </c>
      <c r="D282" s="26" t="s">
        <v>45</v>
      </c>
      <c r="E282" s="26" t="s">
        <v>456</v>
      </c>
      <c r="F282" s="26" t="s">
        <v>224</v>
      </c>
      <c r="G282" s="26">
        <v>88387</v>
      </c>
      <c r="H282" s="26">
        <v>58981</v>
      </c>
      <c r="I282" s="26">
        <v>50</v>
      </c>
      <c r="J282" s="26">
        <v>69</v>
      </c>
      <c r="K282" s="26">
        <v>169</v>
      </c>
      <c r="L282" s="26">
        <v>20</v>
      </c>
      <c r="M282" s="26">
        <v>6</v>
      </c>
      <c r="N282" s="26" t="s">
        <v>41</v>
      </c>
      <c r="O282" s="26" t="s">
        <v>446</v>
      </c>
      <c r="P282" s="26" t="s">
        <v>103</v>
      </c>
      <c r="Q282" s="26">
        <v>7</v>
      </c>
      <c r="R282" s="26" t="s">
        <v>31</v>
      </c>
      <c r="S282" s="26">
        <v>0</v>
      </c>
    </row>
    <row r="283" spans="1:19" x14ac:dyDescent="0.3">
      <c r="A283" s="31" t="s">
        <v>397</v>
      </c>
      <c r="B283" s="29">
        <v>45317</v>
      </c>
      <c r="C283" s="28" t="s">
        <v>131</v>
      </c>
      <c r="D283" s="28" t="s">
        <v>114</v>
      </c>
      <c r="E283" s="28" t="s">
        <v>457</v>
      </c>
      <c r="F283" s="28" t="s">
        <v>132</v>
      </c>
      <c r="G283" s="28">
        <v>178038</v>
      </c>
      <c r="H283" s="28">
        <v>97524</v>
      </c>
      <c r="I283" s="28">
        <v>80</v>
      </c>
      <c r="J283" s="28">
        <v>146</v>
      </c>
      <c r="K283" s="28">
        <v>162</v>
      </c>
      <c r="L283" s="28">
        <v>2</v>
      </c>
      <c r="M283" s="28">
        <v>3</v>
      </c>
      <c r="N283" s="28" t="s">
        <v>22</v>
      </c>
      <c r="O283" s="28" t="s">
        <v>147</v>
      </c>
      <c r="P283" s="28" t="s">
        <v>148</v>
      </c>
      <c r="Q283" s="28">
        <v>4</v>
      </c>
      <c r="R283" s="28" t="s">
        <v>31</v>
      </c>
      <c r="S283" s="28">
        <v>750</v>
      </c>
    </row>
    <row r="284" spans="1:19" x14ac:dyDescent="0.3">
      <c r="A284" s="30" t="s">
        <v>398</v>
      </c>
      <c r="B284" s="27">
        <v>45496</v>
      </c>
      <c r="C284" s="26" t="s">
        <v>201</v>
      </c>
      <c r="D284" s="26" t="s">
        <v>27</v>
      </c>
      <c r="E284" s="26" t="s">
        <v>456</v>
      </c>
      <c r="F284" s="26" t="s">
        <v>202</v>
      </c>
      <c r="G284" s="26">
        <v>47196</v>
      </c>
      <c r="H284" s="26">
        <v>27186</v>
      </c>
      <c r="I284" s="26">
        <v>45</v>
      </c>
      <c r="J284" s="26">
        <v>46</v>
      </c>
      <c r="K284" s="26">
        <v>138</v>
      </c>
      <c r="L284" s="26">
        <v>6</v>
      </c>
      <c r="M284" s="26">
        <v>3</v>
      </c>
      <c r="N284" s="26" t="s">
        <v>22</v>
      </c>
      <c r="O284" s="26" t="s">
        <v>23</v>
      </c>
      <c r="P284" s="26" t="s">
        <v>23</v>
      </c>
      <c r="Q284" s="26">
        <v>3</v>
      </c>
      <c r="R284" s="26" t="s">
        <v>31</v>
      </c>
      <c r="S284" s="26">
        <v>200</v>
      </c>
    </row>
    <row r="285" spans="1:19" x14ac:dyDescent="0.3">
      <c r="A285" s="31" t="s">
        <v>399</v>
      </c>
      <c r="B285" s="29">
        <v>45635</v>
      </c>
      <c r="C285" s="28" t="s">
        <v>19</v>
      </c>
      <c r="D285" s="28" t="s">
        <v>20</v>
      </c>
      <c r="E285" s="28" t="s">
        <v>457</v>
      </c>
      <c r="F285" s="28" t="s">
        <v>21</v>
      </c>
      <c r="G285" s="28">
        <v>95368</v>
      </c>
      <c r="H285" s="28">
        <v>51142</v>
      </c>
      <c r="I285" s="28">
        <v>60</v>
      </c>
      <c r="J285" s="28">
        <v>55</v>
      </c>
      <c r="K285" s="28">
        <v>182</v>
      </c>
      <c r="L285" s="28">
        <v>9</v>
      </c>
      <c r="M285" s="28">
        <v>2</v>
      </c>
      <c r="N285" s="28" t="s">
        <v>41</v>
      </c>
      <c r="O285" s="28" t="s">
        <v>445</v>
      </c>
      <c r="P285" s="28" t="s">
        <v>42</v>
      </c>
      <c r="Q285" s="28">
        <v>3</v>
      </c>
      <c r="R285" s="28" t="s">
        <v>31</v>
      </c>
      <c r="S285" s="28">
        <v>100</v>
      </c>
    </row>
    <row r="286" spans="1:19" x14ac:dyDescent="0.3">
      <c r="A286" s="30" t="s">
        <v>400</v>
      </c>
      <c r="B286" s="27">
        <v>45349</v>
      </c>
      <c r="C286" s="26" t="s">
        <v>121</v>
      </c>
      <c r="D286" s="26" t="s">
        <v>20</v>
      </c>
      <c r="E286" s="26" t="s">
        <v>456</v>
      </c>
      <c r="F286" s="26" t="s">
        <v>109</v>
      </c>
      <c r="G286" s="26">
        <v>10736</v>
      </c>
      <c r="H286" s="26">
        <v>6512</v>
      </c>
      <c r="I286" s="26">
        <v>45</v>
      </c>
      <c r="J286" s="26">
        <v>17</v>
      </c>
      <c r="K286" s="26">
        <v>88</v>
      </c>
      <c r="L286" s="26">
        <v>5</v>
      </c>
      <c r="M286" s="26">
        <v>0</v>
      </c>
      <c r="N286" s="26" t="s">
        <v>41</v>
      </c>
      <c r="O286" s="26" t="s">
        <v>444</v>
      </c>
      <c r="P286" s="26" t="s">
        <v>37</v>
      </c>
      <c r="Q286" s="26">
        <v>5</v>
      </c>
      <c r="R286" s="26" t="s">
        <v>31</v>
      </c>
      <c r="S286" s="26">
        <v>1000</v>
      </c>
    </row>
    <row r="287" spans="1:19" x14ac:dyDescent="0.3">
      <c r="A287" s="31" t="s">
        <v>401</v>
      </c>
      <c r="B287" s="29">
        <v>45571</v>
      </c>
      <c r="C287" s="28" t="s">
        <v>127</v>
      </c>
      <c r="D287" s="28" t="s">
        <v>61</v>
      </c>
      <c r="E287" s="28" t="s">
        <v>457</v>
      </c>
      <c r="F287" s="28" t="s">
        <v>128</v>
      </c>
      <c r="G287" s="28">
        <v>137082</v>
      </c>
      <c r="H287" s="28">
        <v>80538</v>
      </c>
      <c r="I287" s="28">
        <v>45</v>
      </c>
      <c r="J287" s="28">
        <v>95</v>
      </c>
      <c r="K287" s="28">
        <v>186</v>
      </c>
      <c r="L287" s="28">
        <v>12</v>
      </c>
      <c r="M287" s="28">
        <v>9</v>
      </c>
      <c r="N287" s="28" t="s">
        <v>41</v>
      </c>
      <c r="O287" s="28" t="s">
        <v>147</v>
      </c>
      <c r="P287" s="28" t="s">
        <v>148</v>
      </c>
      <c r="Q287" s="28">
        <v>3</v>
      </c>
      <c r="R287" s="28" t="s">
        <v>24</v>
      </c>
      <c r="S287" s="28">
        <v>300</v>
      </c>
    </row>
    <row r="288" spans="1:19" x14ac:dyDescent="0.3">
      <c r="A288" s="30" t="s">
        <v>402</v>
      </c>
      <c r="B288" s="27">
        <v>45530</v>
      </c>
      <c r="C288" s="26" t="s">
        <v>80</v>
      </c>
      <c r="D288" s="26" t="s">
        <v>20</v>
      </c>
      <c r="E288" s="26" t="s">
        <v>456</v>
      </c>
      <c r="F288" s="26" t="s">
        <v>81</v>
      </c>
      <c r="G288" s="26">
        <v>215757</v>
      </c>
      <c r="H288" s="26">
        <v>100650</v>
      </c>
      <c r="I288" s="26">
        <v>55</v>
      </c>
      <c r="J288" s="26">
        <v>149</v>
      </c>
      <c r="K288" s="26">
        <v>183</v>
      </c>
      <c r="L288" s="26">
        <v>3</v>
      </c>
      <c r="M288" s="26">
        <v>0</v>
      </c>
      <c r="N288" s="26" t="s">
        <v>22</v>
      </c>
      <c r="O288" s="26" t="s">
        <v>70</v>
      </c>
      <c r="P288" s="26" t="s">
        <v>71</v>
      </c>
      <c r="Q288" s="26">
        <v>7</v>
      </c>
      <c r="R288" s="26" t="s">
        <v>31</v>
      </c>
      <c r="S288" s="26">
        <v>200</v>
      </c>
    </row>
    <row r="289" spans="1:19" x14ac:dyDescent="0.3">
      <c r="A289" s="31" t="s">
        <v>403</v>
      </c>
      <c r="B289" s="29">
        <v>45337</v>
      </c>
      <c r="C289" s="28" t="s">
        <v>26</v>
      </c>
      <c r="D289" s="28" t="s">
        <v>27</v>
      </c>
      <c r="E289" s="28" t="s">
        <v>457</v>
      </c>
      <c r="F289" s="28" t="s">
        <v>28</v>
      </c>
      <c r="G289" s="28">
        <v>35850</v>
      </c>
      <c r="H289" s="28">
        <v>24750</v>
      </c>
      <c r="I289" s="28">
        <v>35</v>
      </c>
      <c r="J289" s="28">
        <v>20</v>
      </c>
      <c r="K289" s="28">
        <v>150</v>
      </c>
      <c r="L289" s="28">
        <v>10</v>
      </c>
      <c r="M289" s="28">
        <v>7</v>
      </c>
      <c r="N289" s="28" t="s">
        <v>36</v>
      </c>
      <c r="O289" s="28" t="s">
        <v>446</v>
      </c>
      <c r="P289" s="28" t="s">
        <v>103</v>
      </c>
      <c r="Q289" s="28">
        <v>8</v>
      </c>
      <c r="R289" s="28" t="s">
        <v>31</v>
      </c>
      <c r="S289" s="28">
        <v>0</v>
      </c>
    </row>
    <row r="290" spans="1:19" x14ac:dyDescent="0.3">
      <c r="A290" s="30" t="s">
        <v>404</v>
      </c>
      <c r="B290" s="27">
        <v>45433</v>
      </c>
      <c r="C290" s="26" t="s">
        <v>57</v>
      </c>
      <c r="D290" s="26" t="s">
        <v>27</v>
      </c>
      <c r="E290" s="26" t="s">
        <v>456</v>
      </c>
      <c r="F290" s="26" t="s">
        <v>58</v>
      </c>
      <c r="G290" s="26">
        <v>12126</v>
      </c>
      <c r="H290" s="26">
        <v>8084</v>
      </c>
      <c r="I290" s="26">
        <v>35</v>
      </c>
      <c r="J290" s="26">
        <v>21</v>
      </c>
      <c r="K290" s="26">
        <v>86</v>
      </c>
      <c r="L290" s="26">
        <v>2</v>
      </c>
      <c r="M290" s="26">
        <v>2</v>
      </c>
      <c r="N290" s="26" t="s">
        <v>22</v>
      </c>
      <c r="O290" s="26" t="s">
        <v>70</v>
      </c>
      <c r="P290" s="26" t="s">
        <v>71</v>
      </c>
      <c r="Q290" s="26">
        <v>7</v>
      </c>
      <c r="R290" s="26" t="s">
        <v>31</v>
      </c>
      <c r="S290" s="26">
        <v>0</v>
      </c>
    </row>
    <row r="291" spans="1:19" x14ac:dyDescent="0.3">
      <c r="A291" s="31" t="s">
        <v>405</v>
      </c>
      <c r="B291" s="29">
        <v>45585</v>
      </c>
      <c r="C291" s="28" t="s">
        <v>60</v>
      </c>
      <c r="D291" s="28" t="s">
        <v>61</v>
      </c>
      <c r="E291" s="28" t="s">
        <v>456</v>
      </c>
      <c r="F291" s="28" t="s">
        <v>62</v>
      </c>
      <c r="G291" s="28">
        <v>12576</v>
      </c>
      <c r="H291" s="28">
        <v>6624</v>
      </c>
      <c r="I291" s="28">
        <v>60</v>
      </c>
      <c r="J291" s="28">
        <v>29</v>
      </c>
      <c r="K291" s="28">
        <v>48</v>
      </c>
      <c r="L291" s="28">
        <v>5</v>
      </c>
      <c r="M291" s="28">
        <v>0</v>
      </c>
      <c r="N291" s="28" t="s">
        <v>22</v>
      </c>
      <c r="O291" s="28" t="s">
        <v>97</v>
      </c>
      <c r="P291" s="28" t="s">
        <v>98</v>
      </c>
      <c r="Q291" s="28">
        <v>8</v>
      </c>
      <c r="R291" s="28" t="s">
        <v>31</v>
      </c>
      <c r="S291" s="28">
        <v>100</v>
      </c>
    </row>
    <row r="292" spans="1:19" x14ac:dyDescent="0.3">
      <c r="A292" s="30" t="s">
        <v>406</v>
      </c>
      <c r="B292" s="27">
        <v>45627</v>
      </c>
      <c r="C292" s="26" t="s">
        <v>131</v>
      </c>
      <c r="D292" s="26" t="s">
        <v>114</v>
      </c>
      <c r="E292" s="26" t="s">
        <v>456</v>
      </c>
      <c r="F292" s="26" t="s">
        <v>132</v>
      </c>
      <c r="G292" s="26">
        <v>52624</v>
      </c>
      <c r="H292" s="26">
        <v>27872</v>
      </c>
      <c r="I292" s="26">
        <v>40</v>
      </c>
      <c r="J292" s="26">
        <v>94</v>
      </c>
      <c r="K292" s="26">
        <v>52</v>
      </c>
      <c r="L292" s="26">
        <v>6</v>
      </c>
      <c r="M292" s="26">
        <v>1</v>
      </c>
      <c r="N292" s="26" t="s">
        <v>41</v>
      </c>
      <c r="O292" s="26" t="s">
        <v>445</v>
      </c>
      <c r="P292" s="26" t="s">
        <v>42</v>
      </c>
      <c r="Q292" s="26">
        <v>8</v>
      </c>
      <c r="R292" s="26" t="s">
        <v>31</v>
      </c>
      <c r="S292" s="26">
        <v>300</v>
      </c>
    </row>
    <row r="293" spans="1:19" x14ac:dyDescent="0.3">
      <c r="A293" s="31" t="s">
        <v>407</v>
      </c>
      <c r="B293" s="29">
        <v>45346</v>
      </c>
      <c r="C293" s="28" t="s">
        <v>179</v>
      </c>
      <c r="D293" s="28" t="s">
        <v>61</v>
      </c>
      <c r="E293" s="28" t="s">
        <v>457</v>
      </c>
      <c r="F293" s="28" t="s">
        <v>180</v>
      </c>
      <c r="G293" s="28">
        <v>40698</v>
      </c>
      <c r="H293" s="28">
        <v>25992</v>
      </c>
      <c r="I293" s="28">
        <v>55</v>
      </c>
      <c r="J293" s="28">
        <v>29</v>
      </c>
      <c r="K293" s="28">
        <v>171</v>
      </c>
      <c r="L293" s="28">
        <v>19</v>
      </c>
      <c r="M293" s="28">
        <v>3</v>
      </c>
      <c r="N293" s="28" t="s">
        <v>41</v>
      </c>
      <c r="O293" s="28" t="s">
        <v>29</v>
      </c>
      <c r="P293" s="28" t="s">
        <v>30</v>
      </c>
      <c r="Q293" s="28">
        <v>8</v>
      </c>
      <c r="R293" s="28" t="s">
        <v>24</v>
      </c>
      <c r="S293" s="28">
        <v>500</v>
      </c>
    </row>
    <row r="294" spans="1:19" x14ac:dyDescent="0.3">
      <c r="A294" s="30" t="s">
        <v>408</v>
      </c>
      <c r="B294" s="27">
        <v>45386</v>
      </c>
      <c r="C294" s="26" t="s">
        <v>159</v>
      </c>
      <c r="D294" s="26" t="s">
        <v>45</v>
      </c>
      <c r="E294" s="26" t="s">
        <v>456</v>
      </c>
      <c r="F294" s="26" t="s">
        <v>160</v>
      </c>
      <c r="G294" s="26">
        <v>64022</v>
      </c>
      <c r="H294" s="26">
        <v>31059</v>
      </c>
      <c r="I294" s="26">
        <v>50</v>
      </c>
      <c r="J294" s="26">
        <v>52</v>
      </c>
      <c r="K294" s="26">
        <v>119</v>
      </c>
      <c r="L294" s="26">
        <v>14</v>
      </c>
      <c r="M294" s="26">
        <v>2</v>
      </c>
      <c r="N294" s="26" t="s">
        <v>22</v>
      </c>
      <c r="O294" s="26" t="s">
        <v>23</v>
      </c>
      <c r="P294" s="26" t="s">
        <v>23</v>
      </c>
      <c r="Q294" s="26">
        <v>3</v>
      </c>
      <c r="R294" s="26" t="s">
        <v>31</v>
      </c>
      <c r="S294" s="26">
        <v>200</v>
      </c>
    </row>
    <row r="295" spans="1:19" x14ac:dyDescent="0.3">
      <c r="A295" s="31" t="s">
        <v>409</v>
      </c>
      <c r="B295" s="29">
        <v>45526</v>
      </c>
      <c r="C295" s="28" t="s">
        <v>44</v>
      </c>
      <c r="D295" s="28" t="s">
        <v>45</v>
      </c>
      <c r="E295" s="28" t="s">
        <v>457</v>
      </c>
      <c r="F295" s="28" t="s">
        <v>46</v>
      </c>
      <c r="G295" s="28">
        <v>37720</v>
      </c>
      <c r="H295" s="28">
        <v>24265</v>
      </c>
      <c r="I295" s="28">
        <v>70</v>
      </c>
      <c r="J295" s="28">
        <v>43</v>
      </c>
      <c r="K295" s="28">
        <v>115</v>
      </c>
      <c r="L295" s="28">
        <v>11</v>
      </c>
      <c r="M295" s="28">
        <v>4</v>
      </c>
      <c r="N295" s="28" t="s">
        <v>41</v>
      </c>
      <c r="O295" s="28" t="s">
        <v>445</v>
      </c>
      <c r="P295" s="28" t="s">
        <v>42</v>
      </c>
      <c r="Q295" s="28">
        <v>6</v>
      </c>
      <c r="R295" s="28" t="s">
        <v>24</v>
      </c>
      <c r="S295" s="28">
        <v>0</v>
      </c>
    </row>
    <row r="296" spans="1:19" x14ac:dyDescent="0.3">
      <c r="A296" s="30" t="s">
        <v>410</v>
      </c>
      <c r="B296" s="27">
        <v>45577</v>
      </c>
      <c r="C296" s="26" t="s">
        <v>206</v>
      </c>
      <c r="D296" s="26" t="s">
        <v>20</v>
      </c>
      <c r="E296" s="26" t="s">
        <v>456</v>
      </c>
      <c r="F296" s="26" t="s">
        <v>207</v>
      </c>
      <c r="G296" s="26">
        <v>68961</v>
      </c>
      <c r="H296" s="26">
        <v>41910</v>
      </c>
      <c r="I296" s="26">
        <v>35</v>
      </c>
      <c r="J296" s="26">
        <v>51</v>
      </c>
      <c r="K296" s="26">
        <v>127</v>
      </c>
      <c r="L296" s="26">
        <v>9</v>
      </c>
      <c r="M296" s="26">
        <v>6</v>
      </c>
      <c r="N296" s="26" t="s">
        <v>22</v>
      </c>
      <c r="O296" s="26" t="s">
        <v>147</v>
      </c>
      <c r="P296" s="26" t="s">
        <v>148</v>
      </c>
      <c r="Q296" s="26">
        <v>6</v>
      </c>
      <c r="R296" s="26" t="s">
        <v>31</v>
      </c>
      <c r="S296" s="26">
        <v>1000</v>
      </c>
    </row>
    <row r="297" spans="1:19" x14ac:dyDescent="0.3">
      <c r="A297" s="31" t="s">
        <v>411</v>
      </c>
      <c r="B297" s="29">
        <v>45622</v>
      </c>
      <c r="C297" s="28" t="s">
        <v>77</v>
      </c>
      <c r="D297" s="28" t="s">
        <v>74</v>
      </c>
      <c r="E297" s="28" t="s">
        <v>457</v>
      </c>
      <c r="F297" s="28" t="s">
        <v>78</v>
      </c>
      <c r="G297" s="28">
        <v>99395</v>
      </c>
      <c r="H297" s="28">
        <v>57128</v>
      </c>
      <c r="I297" s="28">
        <v>45</v>
      </c>
      <c r="J297" s="28">
        <v>69</v>
      </c>
      <c r="K297" s="28">
        <v>193</v>
      </c>
      <c r="L297" s="28">
        <v>4</v>
      </c>
      <c r="M297" s="28">
        <v>6</v>
      </c>
      <c r="N297" s="28" t="s">
        <v>22</v>
      </c>
      <c r="O297" s="28" t="s">
        <v>444</v>
      </c>
      <c r="P297" s="28" t="s">
        <v>37</v>
      </c>
      <c r="Q297" s="28">
        <v>4</v>
      </c>
      <c r="R297" s="28" t="s">
        <v>31</v>
      </c>
      <c r="S297" s="28">
        <v>1000</v>
      </c>
    </row>
    <row r="298" spans="1:19" x14ac:dyDescent="0.3">
      <c r="A298" s="30" t="s">
        <v>412</v>
      </c>
      <c r="B298" s="27">
        <v>45420</v>
      </c>
      <c r="C298" s="26" t="s">
        <v>121</v>
      </c>
      <c r="D298" s="26" t="s">
        <v>20</v>
      </c>
      <c r="E298" s="26" t="s">
        <v>456</v>
      </c>
      <c r="F298" s="26" t="s">
        <v>109</v>
      </c>
      <c r="G298" s="26">
        <v>23230</v>
      </c>
      <c r="H298" s="26">
        <v>15732</v>
      </c>
      <c r="I298" s="26">
        <v>45</v>
      </c>
      <c r="J298" s="26">
        <v>66</v>
      </c>
      <c r="K298" s="26">
        <v>46</v>
      </c>
      <c r="L298" s="26">
        <v>0</v>
      </c>
      <c r="M298" s="26">
        <v>2</v>
      </c>
      <c r="N298" s="26" t="s">
        <v>41</v>
      </c>
      <c r="O298" s="26" t="s">
        <v>447</v>
      </c>
      <c r="P298" s="26" t="s">
        <v>63</v>
      </c>
      <c r="Q298" s="26">
        <v>8</v>
      </c>
      <c r="R298" s="26" t="s">
        <v>31</v>
      </c>
      <c r="S298" s="26">
        <v>0</v>
      </c>
    </row>
    <row r="299" spans="1:19" x14ac:dyDescent="0.3">
      <c r="A299" s="31" t="s">
        <v>413</v>
      </c>
      <c r="B299" s="29">
        <v>45573</v>
      </c>
      <c r="C299" s="28" t="s">
        <v>105</v>
      </c>
      <c r="D299" s="28" t="s">
        <v>49</v>
      </c>
      <c r="E299" s="28" t="s">
        <v>457</v>
      </c>
      <c r="F299" s="28" t="s">
        <v>106</v>
      </c>
      <c r="G299" s="28">
        <v>81984</v>
      </c>
      <c r="H299" s="28">
        <v>40443</v>
      </c>
      <c r="I299" s="28">
        <v>60</v>
      </c>
      <c r="J299" s="28">
        <v>54</v>
      </c>
      <c r="K299" s="28">
        <v>183</v>
      </c>
      <c r="L299" s="28">
        <v>5</v>
      </c>
      <c r="M299" s="28">
        <v>2</v>
      </c>
      <c r="N299" s="28" t="s">
        <v>22</v>
      </c>
      <c r="O299" s="28" t="s">
        <v>97</v>
      </c>
      <c r="P299" s="28" t="s">
        <v>98</v>
      </c>
      <c r="Q299" s="28">
        <v>5</v>
      </c>
      <c r="R299" s="28" t="s">
        <v>24</v>
      </c>
      <c r="S299" s="28">
        <v>750</v>
      </c>
    </row>
    <row r="300" spans="1:19" x14ac:dyDescent="0.3">
      <c r="A300" s="30" t="s">
        <v>414</v>
      </c>
      <c r="B300" s="27">
        <v>45359</v>
      </c>
      <c r="C300" s="26" t="s">
        <v>19</v>
      </c>
      <c r="D300" s="26" t="s">
        <v>20</v>
      </c>
      <c r="E300" s="26" t="s">
        <v>456</v>
      </c>
      <c r="F300" s="26" t="s">
        <v>21</v>
      </c>
      <c r="G300" s="26">
        <v>39050</v>
      </c>
      <c r="H300" s="26">
        <v>24992</v>
      </c>
      <c r="I300" s="26">
        <v>35</v>
      </c>
      <c r="J300" s="26">
        <v>31</v>
      </c>
      <c r="K300" s="26">
        <v>142</v>
      </c>
      <c r="L300" s="26">
        <v>0</v>
      </c>
      <c r="M300" s="26">
        <v>7</v>
      </c>
      <c r="N300" s="26" t="s">
        <v>22</v>
      </c>
      <c r="O300" s="26" t="s">
        <v>445</v>
      </c>
      <c r="P300" s="26" t="s">
        <v>42</v>
      </c>
      <c r="Q300" s="26">
        <v>6</v>
      </c>
      <c r="R300" s="26" t="s">
        <v>31</v>
      </c>
      <c r="S300" s="26">
        <v>1000</v>
      </c>
    </row>
    <row r="301" spans="1:19" x14ac:dyDescent="0.3">
      <c r="A301" s="31" t="s">
        <v>415</v>
      </c>
      <c r="B301" s="29">
        <v>45572</v>
      </c>
      <c r="C301" s="28" t="s">
        <v>60</v>
      </c>
      <c r="D301" s="28" t="s">
        <v>61</v>
      </c>
      <c r="E301" s="28" t="s">
        <v>457</v>
      </c>
      <c r="F301" s="28" t="s">
        <v>62</v>
      </c>
      <c r="G301" s="28">
        <v>21944</v>
      </c>
      <c r="H301" s="28">
        <v>12948</v>
      </c>
      <c r="I301" s="28">
        <v>50</v>
      </c>
      <c r="J301" s="28">
        <v>35</v>
      </c>
      <c r="K301" s="28">
        <v>52</v>
      </c>
      <c r="L301" s="28">
        <v>5</v>
      </c>
      <c r="M301" s="28">
        <v>1</v>
      </c>
      <c r="N301" s="28" t="s">
        <v>36</v>
      </c>
      <c r="O301" s="28" t="s">
        <v>51</v>
      </c>
      <c r="P301" s="28" t="s">
        <v>52</v>
      </c>
      <c r="Q301" s="28">
        <v>7</v>
      </c>
      <c r="R301" s="28" t="s">
        <v>31</v>
      </c>
      <c r="S301" s="28">
        <v>0</v>
      </c>
    </row>
    <row r="302" spans="1:19" x14ac:dyDescent="0.3">
      <c r="A302" s="30" t="s">
        <v>451</v>
      </c>
      <c r="B302" s="27">
        <v>45573</v>
      </c>
      <c r="C302" s="26" t="s">
        <v>206</v>
      </c>
      <c r="D302" s="26" t="s">
        <v>20</v>
      </c>
      <c r="E302" s="26" t="s">
        <v>456</v>
      </c>
      <c r="F302" s="26" t="s">
        <v>207</v>
      </c>
      <c r="G302" s="26">
        <v>20546</v>
      </c>
      <c r="H302" s="26">
        <v>12948</v>
      </c>
      <c r="I302" s="26">
        <v>50</v>
      </c>
      <c r="J302" s="26">
        <v>35</v>
      </c>
      <c r="K302" s="26">
        <v>52</v>
      </c>
      <c r="L302" s="26">
        <v>5</v>
      </c>
      <c r="M302" s="26">
        <v>1</v>
      </c>
      <c r="N302" s="26" t="s">
        <v>36</v>
      </c>
      <c r="O302" s="26" t="s">
        <v>445</v>
      </c>
      <c r="P302" s="26" t="s">
        <v>42</v>
      </c>
      <c r="Q302" s="26">
        <v>8</v>
      </c>
      <c r="R302" s="26" t="s">
        <v>31</v>
      </c>
      <c r="S302" s="26">
        <v>1</v>
      </c>
    </row>
    <row r="303" spans="1:19" x14ac:dyDescent="0.3">
      <c r="A303" s="31" t="s">
        <v>452</v>
      </c>
      <c r="B303" s="29">
        <v>45574</v>
      </c>
      <c r="C303" s="28" t="s">
        <v>44</v>
      </c>
      <c r="D303" s="28" t="s">
        <v>45</v>
      </c>
      <c r="E303" s="28" t="s">
        <v>456</v>
      </c>
      <c r="F303" s="28" t="s">
        <v>46</v>
      </c>
      <c r="G303" s="28">
        <v>21849</v>
      </c>
      <c r="H303" s="28">
        <v>12948</v>
      </c>
      <c r="I303" s="28">
        <v>50</v>
      </c>
      <c r="J303" s="28">
        <v>35</v>
      </c>
      <c r="K303" s="28">
        <v>52</v>
      </c>
      <c r="L303" s="28">
        <v>5</v>
      </c>
      <c r="M303" s="28">
        <v>1</v>
      </c>
      <c r="N303" s="28" t="s">
        <v>36</v>
      </c>
      <c r="O303" s="28" t="s">
        <v>447</v>
      </c>
      <c r="P303" s="28" t="s">
        <v>63</v>
      </c>
      <c r="Q303" s="28">
        <v>9</v>
      </c>
      <c r="R303" s="28" t="s">
        <v>31</v>
      </c>
      <c r="S303" s="28">
        <v>2</v>
      </c>
    </row>
    <row r="304" spans="1:19" x14ac:dyDescent="0.3">
      <c r="A304" s="30" t="s">
        <v>453</v>
      </c>
      <c r="B304" s="27">
        <v>45575</v>
      </c>
      <c r="C304" s="26" t="s">
        <v>131</v>
      </c>
      <c r="D304" s="26" t="s">
        <v>114</v>
      </c>
      <c r="E304" s="26" t="s">
        <v>457</v>
      </c>
      <c r="F304" s="26" t="s">
        <v>132</v>
      </c>
      <c r="G304" s="26">
        <v>45896</v>
      </c>
      <c r="H304" s="26">
        <v>12948</v>
      </c>
      <c r="I304" s="26">
        <v>50</v>
      </c>
      <c r="J304" s="26">
        <v>35</v>
      </c>
      <c r="K304" s="26">
        <v>52</v>
      </c>
      <c r="L304" s="26">
        <v>5</v>
      </c>
      <c r="M304" s="26">
        <v>1</v>
      </c>
      <c r="N304" s="26" t="s">
        <v>36</v>
      </c>
      <c r="O304" s="26" t="s">
        <v>444</v>
      </c>
      <c r="P304" s="26" t="s">
        <v>37</v>
      </c>
      <c r="Q304" s="26">
        <v>10</v>
      </c>
      <c r="R304" s="26" t="s">
        <v>31</v>
      </c>
      <c r="S304" s="26">
        <v>3</v>
      </c>
    </row>
    <row r="305" spans="1:19" x14ac:dyDescent="0.3">
      <c r="A305" s="22"/>
      <c r="B305" s="23"/>
      <c r="C305" s="23"/>
      <c r="D305" s="23"/>
      <c r="E305" s="23"/>
      <c r="F305" s="23"/>
      <c r="G305" s="23"/>
      <c r="H305" s="23"/>
      <c r="I305" s="23"/>
      <c r="J305" s="23"/>
      <c r="K305" s="23"/>
      <c r="L305" s="23"/>
      <c r="M305" s="23"/>
      <c r="N305" s="23"/>
      <c r="O305" s="23"/>
      <c r="P305" s="23"/>
      <c r="Q305" s="23"/>
      <c r="R305" s="23"/>
      <c r="S305" s="24"/>
    </row>
    <row r="308" spans="1:19" x14ac:dyDescent="0.3">
      <c r="G308">
        <f>Meesho_Data!$G$305</f>
        <v>0</v>
      </c>
    </row>
    <row r="310" spans="1:19" x14ac:dyDescent="0.3">
      <c r="F310" s="25" t="s">
        <v>449</v>
      </c>
      <c r="G310">
        <f>SUM(Meesho_Data!$H$305,Meesho_Data!$I$305,Meesho_Data!$J$305)</f>
        <v>0</v>
      </c>
    </row>
    <row r="312" spans="1:19" x14ac:dyDescent="0.3">
      <c r="F312" s="25" t="s">
        <v>448</v>
      </c>
      <c r="G312">
        <f>Meesho_Data!$G$305-G310</f>
        <v>0</v>
      </c>
    </row>
    <row r="314" spans="1:19" x14ac:dyDescent="0.3">
      <c r="F314" s="25" t="s">
        <v>450</v>
      </c>
      <c r="G314" s="21" t="e">
        <f>G312/G308</f>
        <v>#DIV/0!</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242C-8D0F-448A-AE74-6A6EC9A91F30}">
  <dimension ref="B2:D20"/>
  <sheetViews>
    <sheetView zoomScale="130" zoomScaleNormal="130" workbookViewId="0">
      <selection activeCell="I10" sqref="I10"/>
    </sheetView>
  </sheetViews>
  <sheetFormatPr defaultRowHeight="14.4" x14ac:dyDescent="0.3"/>
  <cols>
    <col min="2" max="2" width="18.6640625" bestFit="1" customWidth="1"/>
    <col min="3" max="3" width="12.6640625" customWidth="1"/>
  </cols>
  <sheetData>
    <row r="2" spans="2:4" x14ac:dyDescent="0.3">
      <c r="B2" t="s">
        <v>0</v>
      </c>
    </row>
    <row r="3" spans="2:4" x14ac:dyDescent="0.3">
      <c r="B3" s="16" t="s">
        <v>1</v>
      </c>
      <c r="C3" s="15" t="s">
        <v>427</v>
      </c>
    </row>
    <row r="4" spans="2:4" x14ac:dyDescent="0.3">
      <c r="B4" t="s">
        <v>2</v>
      </c>
    </row>
    <row r="5" spans="2:4" x14ac:dyDescent="0.3">
      <c r="B5" s="9" t="s">
        <v>3</v>
      </c>
      <c r="C5" s="2" t="s">
        <v>416</v>
      </c>
    </row>
    <row r="6" spans="2:4" x14ac:dyDescent="0.3">
      <c r="B6" s="10" t="s">
        <v>4</v>
      </c>
      <c r="C6" s="1" t="s">
        <v>417</v>
      </c>
      <c r="D6" s="11" t="s">
        <v>422</v>
      </c>
    </row>
    <row r="7" spans="2:4" x14ac:dyDescent="0.3">
      <c r="B7" s="8" t="s">
        <v>5</v>
      </c>
      <c r="C7" s="8" t="s">
        <v>421</v>
      </c>
      <c r="D7" s="4" t="s">
        <v>419</v>
      </c>
    </row>
    <row r="8" spans="2:4" x14ac:dyDescent="0.3">
      <c r="B8" s="7" t="s">
        <v>6</v>
      </c>
      <c r="C8" s="7" t="s">
        <v>423</v>
      </c>
      <c r="D8" s="4" t="s">
        <v>419</v>
      </c>
    </row>
    <row r="9" spans="2:4" x14ac:dyDescent="0.3">
      <c r="B9" t="s">
        <v>7</v>
      </c>
    </row>
    <row r="10" spans="2:4" x14ac:dyDescent="0.3">
      <c r="B10" t="s">
        <v>8</v>
      </c>
    </row>
    <row r="11" spans="2:4" x14ac:dyDescent="0.3">
      <c r="B11" s="12" t="s">
        <v>9</v>
      </c>
      <c r="C11" s="4" t="s">
        <v>419</v>
      </c>
    </row>
    <row r="12" spans="2:4" x14ac:dyDescent="0.3">
      <c r="B12" s="12" t="s">
        <v>10</v>
      </c>
      <c r="C12" s="4" t="s">
        <v>419</v>
      </c>
    </row>
    <row r="13" spans="2:4" x14ac:dyDescent="0.3">
      <c r="B13" s="12" t="s">
        <v>11</v>
      </c>
      <c r="C13" s="4" t="s">
        <v>419</v>
      </c>
    </row>
    <row r="14" spans="2:4" x14ac:dyDescent="0.3">
      <c r="B14" s="17" t="s">
        <v>12</v>
      </c>
    </row>
    <row r="15" spans="2:4" x14ac:dyDescent="0.3">
      <c r="B15" s="5" t="s">
        <v>13</v>
      </c>
      <c r="C15" s="6" t="s">
        <v>420</v>
      </c>
    </row>
    <row r="16" spans="2:4" x14ac:dyDescent="0.3">
      <c r="B16" s="5" t="s">
        <v>14</v>
      </c>
    </row>
    <row r="17" spans="2:4" x14ac:dyDescent="0.3">
      <c r="B17" s="3" t="s">
        <v>15</v>
      </c>
      <c r="C17" s="3" t="s">
        <v>418</v>
      </c>
      <c r="D17" s="4" t="s">
        <v>419</v>
      </c>
    </row>
    <row r="18" spans="2:4" x14ac:dyDescent="0.3">
      <c r="B18" t="s">
        <v>16</v>
      </c>
    </row>
    <row r="19" spans="2:4" x14ac:dyDescent="0.3">
      <c r="B19" t="s">
        <v>17</v>
      </c>
    </row>
    <row r="20" spans="2:4" x14ac:dyDescent="0.3">
      <c r="B20" t="s">
        <v>455</v>
      </c>
      <c r="C20" t="s">
        <v>416</v>
      </c>
      <c r="D20" t="s">
        <v>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086C7-B225-4A26-8278-A33E5A8098C7}">
  <dimension ref="A2:U30"/>
  <sheetViews>
    <sheetView zoomScale="103" zoomScaleNormal="100" workbookViewId="0">
      <selection activeCell="E9" sqref="E9"/>
    </sheetView>
  </sheetViews>
  <sheetFormatPr defaultRowHeight="14.4" x14ac:dyDescent="0.3"/>
  <cols>
    <col min="1" max="1" width="12.77734375" bestFit="1" customWidth="1"/>
    <col min="2" max="2" width="19.44140625" bestFit="1" customWidth="1"/>
    <col min="3" max="3" width="19.33203125" bestFit="1" customWidth="1"/>
    <col min="4" max="5" width="18.44140625" bestFit="1" customWidth="1"/>
    <col min="6" max="6" width="19.44140625" bestFit="1" customWidth="1"/>
    <col min="7" max="7" width="23.33203125" bestFit="1" customWidth="1"/>
    <col min="8" max="8" width="16.44140625" bestFit="1" customWidth="1"/>
    <col min="9" max="9" width="22" bestFit="1" customWidth="1"/>
    <col min="10" max="10" width="19" bestFit="1" customWidth="1"/>
    <col min="11" max="11" width="16.21875" bestFit="1" customWidth="1"/>
    <col min="12" max="15" width="22.6640625" bestFit="1" customWidth="1"/>
    <col min="16" max="16" width="19.44140625" bestFit="1" customWidth="1"/>
    <col min="17" max="17" width="15.109375" bestFit="1" customWidth="1"/>
    <col min="18" max="19" width="22.6640625" bestFit="1" customWidth="1"/>
    <col min="20" max="20" width="13.33203125" bestFit="1" customWidth="1"/>
    <col min="21" max="21" width="23.33203125" bestFit="1" customWidth="1"/>
  </cols>
  <sheetData>
    <row r="2" spans="1:21" x14ac:dyDescent="0.3">
      <c r="A2" s="13" t="s">
        <v>424</v>
      </c>
      <c r="B2" t="s">
        <v>428</v>
      </c>
      <c r="E2" s="36">
        <f>E4</f>
        <v>16805672</v>
      </c>
      <c r="F2">
        <f>F4</f>
        <v>33015</v>
      </c>
      <c r="Q2" s="13" t="s">
        <v>424</v>
      </c>
      <c r="R2" t="s">
        <v>430</v>
      </c>
      <c r="T2" s="13" t="s">
        <v>424</v>
      </c>
      <c r="U2" t="s">
        <v>443</v>
      </c>
    </row>
    <row r="3" spans="1:21" x14ac:dyDescent="0.3">
      <c r="A3" s="14" t="s">
        <v>431</v>
      </c>
      <c r="B3" s="39">
        <v>3508</v>
      </c>
      <c r="E3" t="s">
        <v>426</v>
      </c>
      <c r="F3" t="s">
        <v>428</v>
      </c>
      <c r="Q3" s="14" t="s">
        <v>29</v>
      </c>
      <c r="R3" s="18">
        <v>0.10891089108910891</v>
      </c>
      <c r="T3" s="14" t="s">
        <v>20</v>
      </c>
      <c r="U3" s="19">
        <v>5.619718309859155</v>
      </c>
    </row>
    <row r="4" spans="1:21" x14ac:dyDescent="0.3">
      <c r="A4" s="14" t="s">
        <v>432</v>
      </c>
      <c r="B4" s="39">
        <v>1780</v>
      </c>
      <c r="E4" s="39">
        <v>16805672</v>
      </c>
      <c r="F4" s="39">
        <v>33015</v>
      </c>
      <c r="Q4" s="14" t="s">
        <v>23</v>
      </c>
      <c r="R4" s="18">
        <v>0.10231023102310231</v>
      </c>
      <c r="T4" s="14" t="s">
        <v>74</v>
      </c>
      <c r="U4" s="19">
        <v>5.3529411764705879</v>
      </c>
    </row>
    <row r="5" spans="1:21" x14ac:dyDescent="0.3">
      <c r="A5" s="14" t="s">
        <v>433</v>
      </c>
      <c r="B5" s="39">
        <v>1898</v>
      </c>
      <c r="Q5" s="14" t="s">
        <v>70</v>
      </c>
      <c r="R5" s="18">
        <v>9.5709570957095716E-2</v>
      </c>
      <c r="T5" s="14" t="s">
        <v>34</v>
      </c>
      <c r="U5" s="19">
        <v>5.90625</v>
      </c>
    </row>
    <row r="6" spans="1:21" x14ac:dyDescent="0.3">
      <c r="A6" s="14" t="s">
        <v>434</v>
      </c>
      <c r="B6" s="39">
        <v>3118</v>
      </c>
      <c r="G6" s="19"/>
      <c r="Q6" s="14" t="s">
        <v>51</v>
      </c>
      <c r="R6" s="18">
        <v>6.9306930693069313E-2</v>
      </c>
      <c r="T6" s="14" t="s">
        <v>45</v>
      </c>
      <c r="U6" s="19">
        <v>5.5</v>
      </c>
    </row>
    <row r="7" spans="1:21" x14ac:dyDescent="0.3">
      <c r="A7" s="14" t="s">
        <v>435</v>
      </c>
      <c r="B7" s="39">
        <v>3541</v>
      </c>
      <c r="Q7" s="14" t="s">
        <v>147</v>
      </c>
      <c r="R7" s="18">
        <v>9.5709570957095716E-2</v>
      </c>
      <c r="T7" s="14" t="s">
        <v>114</v>
      </c>
      <c r="U7" s="19">
        <v>6.3043478260869561</v>
      </c>
    </row>
    <row r="8" spans="1:21" x14ac:dyDescent="0.3">
      <c r="A8" s="14" t="s">
        <v>436</v>
      </c>
      <c r="B8" s="39">
        <v>2681</v>
      </c>
      <c r="H8" t="s">
        <v>459</v>
      </c>
      <c r="I8" t="s">
        <v>460</v>
      </c>
      <c r="J8" t="s">
        <v>461</v>
      </c>
      <c r="K8" t="s">
        <v>462</v>
      </c>
      <c r="Q8" s="14" t="s">
        <v>97</v>
      </c>
      <c r="R8" s="18">
        <v>8.9108910891089105E-2</v>
      </c>
      <c r="T8" s="14" t="s">
        <v>61</v>
      </c>
      <c r="U8" s="19">
        <v>5.4642857142857144</v>
      </c>
    </row>
    <row r="9" spans="1:21" x14ac:dyDescent="0.3">
      <c r="A9" s="14" t="s">
        <v>437</v>
      </c>
      <c r="B9" s="39">
        <v>2652</v>
      </c>
      <c r="H9" s="39">
        <v>9610306</v>
      </c>
      <c r="I9" s="39">
        <v>16580</v>
      </c>
      <c r="J9" s="39">
        <v>17731</v>
      </c>
      <c r="K9" s="39">
        <v>106006</v>
      </c>
      <c r="Q9" s="14" t="s">
        <v>444</v>
      </c>
      <c r="R9" s="18">
        <v>0.12211221122112212</v>
      </c>
      <c r="T9" s="14" t="s">
        <v>49</v>
      </c>
      <c r="U9" s="19">
        <v>5.1891891891891895</v>
      </c>
    </row>
    <row r="10" spans="1:21" x14ac:dyDescent="0.3">
      <c r="A10" s="14" t="s">
        <v>438</v>
      </c>
      <c r="B10" s="39">
        <v>3329</v>
      </c>
      <c r="Q10" s="14" t="s">
        <v>445</v>
      </c>
      <c r="R10" s="18">
        <v>0.10891089108910891</v>
      </c>
      <c r="T10" s="14" t="s">
        <v>27</v>
      </c>
      <c r="U10" s="19">
        <v>5.708333333333333</v>
      </c>
    </row>
    <row r="11" spans="1:21" x14ac:dyDescent="0.3">
      <c r="A11" s="14" t="s">
        <v>439</v>
      </c>
      <c r="B11" s="39">
        <v>2139</v>
      </c>
      <c r="Q11" s="14" t="s">
        <v>447</v>
      </c>
      <c r="R11" s="18">
        <v>9.5709570957095716E-2</v>
      </c>
      <c r="T11" s="14" t="s">
        <v>425</v>
      </c>
      <c r="U11" s="19">
        <v>5.6072607260726075</v>
      </c>
    </row>
    <row r="12" spans="1:21" x14ac:dyDescent="0.3">
      <c r="A12" s="14" t="s">
        <v>440</v>
      </c>
      <c r="B12" s="39">
        <v>2723</v>
      </c>
      <c r="I12">
        <f>SUM(H9,I9,J9,K9)</f>
        <v>9750623</v>
      </c>
      <c r="Q12" s="14" t="s">
        <v>446</v>
      </c>
      <c r="R12" s="18">
        <v>0.11221122112211221</v>
      </c>
    </row>
    <row r="13" spans="1:21" x14ac:dyDescent="0.3">
      <c r="A13" s="14" t="s">
        <v>441</v>
      </c>
      <c r="B13" s="39">
        <v>2288</v>
      </c>
      <c r="D13" s="34" t="s">
        <v>454</v>
      </c>
      <c r="E13" s="37">
        <f>E2-I12</f>
        <v>7055049</v>
      </c>
    </row>
    <row r="14" spans="1:21" x14ac:dyDescent="0.3">
      <c r="A14" s="14" t="s">
        <v>442</v>
      </c>
      <c r="B14" s="39">
        <v>3358</v>
      </c>
    </row>
    <row r="15" spans="1:21" x14ac:dyDescent="0.3">
      <c r="A15" s="14" t="s">
        <v>425</v>
      </c>
      <c r="B15" s="39">
        <v>33015</v>
      </c>
      <c r="D15" s="35" t="s">
        <v>450</v>
      </c>
      <c r="E15" s="38">
        <f>E13/E2</f>
        <v>0.41980165982056533</v>
      </c>
      <c r="H15" s="13" t="s">
        <v>424</v>
      </c>
      <c r="I15" t="s">
        <v>428</v>
      </c>
    </row>
    <row r="16" spans="1:21" x14ac:dyDescent="0.3">
      <c r="H16" s="14" t="s">
        <v>457</v>
      </c>
      <c r="I16" s="39">
        <v>14775</v>
      </c>
    </row>
    <row r="17" spans="8:18" x14ac:dyDescent="0.3">
      <c r="H17" s="14" t="s">
        <v>456</v>
      </c>
      <c r="I17" s="39">
        <v>18240</v>
      </c>
    </row>
    <row r="18" spans="8:18" x14ac:dyDescent="0.3">
      <c r="H18" s="14" t="s">
        <v>425</v>
      </c>
      <c r="I18" s="39">
        <v>33015</v>
      </c>
    </row>
    <row r="20" spans="8:18" x14ac:dyDescent="0.3">
      <c r="L20" s="20" t="s">
        <v>424</v>
      </c>
      <c r="M20" s="20" t="s">
        <v>430</v>
      </c>
    </row>
    <row r="21" spans="8:18" x14ac:dyDescent="0.3">
      <c r="L21" t="str">
        <f>IF(Q3=0,"",Q3)</f>
        <v>Bihar</v>
      </c>
      <c r="M21" s="21">
        <f>IF(R3=0,"",R3)</f>
        <v>0.10891089108910891</v>
      </c>
    </row>
    <row r="22" spans="8:18" x14ac:dyDescent="0.3">
      <c r="L22" t="str">
        <f>IF(Q4=0,"",Q4)</f>
        <v>Delhi</v>
      </c>
      <c r="M22" s="21">
        <f>IF(R4=0,"",R4)</f>
        <v>0.10231023102310231</v>
      </c>
    </row>
    <row r="23" spans="8:18" x14ac:dyDescent="0.3">
      <c r="J23" s="13" t="s">
        <v>424</v>
      </c>
      <c r="K23" t="s">
        <v>429</v>
      </c>
      <c r="L23" t="str">
        <f>IF(Q5=0,"",Q5)</f>
        <v>Gujarat</v>
      </c>
      <c r="M23" s="21">
        <f>IF(R5=0,"",R5)</f>
        <v>9.5709570957095716E-2</v>
      </c>
    </row>
    <row r="24" spans="8:18" x14ac:dyDescent="0.3">
      <c r="J24" s="14" t="s">
        <v>41</v>
      </c>
      <c r="K24" s="18">
        <v>0.31683168316831684</v>
      </c>
      <c r="L24" t="str">
        <f>IF(Q6=0,"",Q6)</f>
        <v>Karnataka</v>
      </c>
      <c r="M24" s="21">
        <f>IF(R6=0,"",R6)</f>
        <v>6.9306930693069313E-2</v>
      </c>
    </row>
    <row r="25" spans="8:18" x14ac:dyDescent="0.3">
      <c r="J25" s="14" t="s">
        <v>22</v>
      </c>
      <c r="K25" s="18">
        <v>0.53465346534653468</v>
      </c>
      <c r="L25" t="str">
        <f>IF(Q7=0,"",Q7)</f>
        <v>Maharashtra</v>
      </c>
      <c r="M25" s="21">
        <f>IF(R7=0,"",R7)</f>
        <v>9.5709570957095716E-2</v>
      </c>
    </row>
    <row r="26" spans="8:18" x14ac:dyDescent="0.3">
      <c r="J26" s="14" t="s">
        <v>36</v>
      </c>
      <c r="K26" s="18">
        <v>0.14851485148514851</v>
      </c>
      <c r="L26" t="str">
        <f>IF(Q8=0,"",Q8)</f>
        <v>Rajasthan</v>
      </c>
      <c r="M26" s="21">
        <f>IF(R8=0,"",R8)</f>
        <v>8.9108910891089105E-2</v>
      </c>
    </row>
    <row r="27" spans="8:18" x14ac:dyDescent="0.3">
      <c r="J27" s="14" t="s">
        <v>425</v>
      </c>
      <c r="K27" s="18">
        <v>1</v>
      </c>
      <c r="L27" t="str">
        <f>IF(Q9=0,"",Q9)</f>
        <v>Uttar Pradesh</v>
      </c>
      <c r="M27" s="21">
        <f>IF(R9=0,"",R9)</f>
        <v>0.12211221122112212</v>
      </c>
    </row>
    <row r="28" spans="8:18" x14ac:dyDescent="0.3">
      <c r="L28" t="str">
        <f>IF(Q10=0,"",Q10)</f>
        <v>West Bengal</v>
      </c>
      <c r="M28" s="21">
        <f>IF(R10=0,"",R10)</f>
        <v>0.10891089108910891</v>
      </c>
    </row>
    <row r="29" spans="8:18" x14ac:dyDescent="0.3">
      <c r="L29" t="str">
        <f>IF(Q11=0,"",Q11)</f>
        <v>Tamil Nadu</v>
      </c>
      <c r="M29" s="21">
        <f>IF(R11=0,"",R11)</f>
        <v>9.5709570957095716E-2</v>
      </c>
      <c r="Q29" t="str">
        <f t="shared" ref="Q29" si="0">IF(T29=0,"",T29)</f>
        <v/>
      </c>
      <c r="R29" t="str">
        <f t="shared" ref="R29" si="1">IF(U29=0,"",U29)</f>
        <v/>
      </c>
    </row>
    <row r="30" spans="8:18" x14ac:dyDescent="0.3">
      <c r="L30" t="str">
        <f>IF(Q12=0,"",Q12)</f>
        <v>Madhya Pradesh</v>
      </c>
      <c r="M30" s="21">
        <f>IF(R12=0,"",R12)</f>
        <v>0.11221122112211221</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AC07-7DC3-4DD3-AD70-1344C1B811E8}">
  <dimension ref="A1"/>
  <sheetViews>
    <sheetView tabSelected="1" zoomScaleNormal="100" workbookViewId="0">
      <selection activeCell="R49" sqref="R49"/>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Meesho_Data</vt:lpstr>
      <vt:lpstr>Sheet1</vt:lpstr>
      <vt:lpstr>KPI</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SATYAM KUMAR</cp:lastModifiedBy>
  <dcterms:created xsi:type="dcterms:W3CDTF">2026-04-24T04:00:31Z</dcterms:created>
  <dcterms:modified xsi:type="dcterms:W3CDTF">2026-06-04T14:15:56Z</dcterms:modified>
</cp:coreProperties>
</file>